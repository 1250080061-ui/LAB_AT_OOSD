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8bf2a1ca6443fc" /></Relationships>
</file>

<file path=xl/workbook.xml><?xml version="1.0" encoding="utf-8"?>
<x:workbook xmlns:x="http://schemas.openxmlformats.org/spreadsheetml/2006/main">
  <x:sheets>
    <x:sheet xmlns:r="http://schemas.openxmlformats.org/officeDocument/2006/relationships" name="TestCase" sheetId="1" r:id="Rab01da2b4b7845c3"/>
    <x:sheet xmlns:r="http://schemas.openxmlformats.org/officeDocument/2006/relationships" name="HuongDan" sheetId="2" r:id="Rd3fe96f6ce254d6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7">
    <x:font>
      <x:sz val="11"/>
      <x:name val="Carlito"/>
    </x:font>
    <x:font>
      <x:sz val="10"/>
      <x:color rgb="FF29342E"/>
      <x:name val="Arial"/>
    </x:font>
    <x:font>
      <x:b/>
      <x:sz val="16"/>
      <x:color rgb="FF355D49"/>
      <x:name val="Arial"/>
    </x:font>
    <x:font>
      <x:b/>
      <x:sz val="14"/>
      <x:color rgb="FF355D49"/>
      <x:name val="Arial"/>
    </x:font>
    <x:font>
      <x:sz val="10"/>
      <x:color rgb="FF647064"/>
      <x:name val="Arial"/>
    </x:font>
    <x:font>
      <x:b/>
      <x:sz val="10"/>
      <x:color rgb="FFFFFFFF"/>
      <x:name val="Arial"/>
    </x:font>
    <x:font>
      <x:b/>
      <x:sz val="10"/>
      <x:color rgb="FF355D49"/>
      <x:name val="Arial"/>
    </x:font>
  </x:fonts>
  <x:fills count="7">
    <x:fill>
      <x:patternFill patternType="none"/>
    </x:fill>
    <x:fill>
      <x:patternFill patternType="gray125"/>
    </x:fill>
    <x:fill>
      <x:patternFill patternType="solid">
        <x:fgColor rgb="FFF5F3EC"/>
      </x:patternFill>
    </x:fill>
    <x:fill>
      <x:patternFill patternType="solid">
        <x:fgColor rgb="FF355D49"/>
      </x:patternFill>
    </x:fill>
    <x:fill>
      <x:patternFill patternType="solid">
        <x:fgColor rgb="FFFFFFFF"/>
      </x:patternFill>
    </x:fill>
    <x:fill>
      <x:patternFill patternType="solid">
        <x:fgColor rgb="FFF5F8F3"/>
      </x:patternFill>
    </x:fill>
    <x:fill>
      <x:patternFill patternType="solid">
        <x:fgColor rgb="FFFFF3CE"/>
      </x:patternFill>
    </x:fill>
  </x:fills>
  <x:borders count="5">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thin">
        <x:color rgb="FFDFE2D8"/>
      </x:top>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200" fontId="3" fillId="2" borderId="0" xfId="0" applyNumberFormat="1" applyFont="1" applyFill="1" applyBorder="1" applyAlignment="1">
      <x:alignment vertical="center"/>
    </x:xf>
    <x:xf numFmtId="200" fontId="3" fillId="2" borderId="0" xfId="0" applyNumberFormat="1" applyFont="1" applyFill="1" applyBorder="1" applyAlignment="1">
      <x:alignment horizontal="center" vertical="center"/>
    </x:xf>
    <x:xf numFmtId="0" fontId="4"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1" xfId="0" applyNumberFormat="1" applyFont="1" applyFill="1" applyBorder="1" applyAlignment="1">
      <x:alignment vertical="center"/>
    </x:xf>
    <x:xf numFmtId="0" fontId="5" fillId="3" borderId="2" xfId="0" applyNumberFormat="1" applyFont="1" applyFill="1" applyBorder="1" applyAlignment="1">
      <x:alignment vertical="center"/>
    </x:xf>
    <x:xf numFmtId="0" fontId="5" fillId="3" borderId="3" xfId="0" applyNumberFormat="1" applyFont="1" applyFill="1" applyBorder="1" applyAlignment="1">
      <x:alignment vertical="center"/>
    </x:xf>
    <x:xf numFmtId="0" fontId="5" fillId="3" borderId="1" xfId="0" applyNumberFormat="1" applyFont="1" applyFill="1" applyBorder="1" applyAlignment="1">
      <x:alignment vertical="center" wrapText="1"/>
    </x:xf>
    <x:xf numFmtId="0" fontId="5" fillId="3" borderId="2"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0" fontId="5" fillId="3" borderId="1"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4" borderId="4"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4"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6" fillId="4" borderId="4"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6" fillId="5" borderId="4"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1" fillId="6" borderId="4"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4"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4"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vertical="center"/>
    </x:xf>
    <x:xf numFmtId="201" fontId="1" fillId="6" borderId="0" xfId="0" applyNumberFormat="1" applyFont="1" applyFill="1" applyBorder="1" applyAlignment="1">
      <x:alignment vertical="center"/>
    </x:xf>
    <x:xf numFmtId="0" fontId="5" fillId="3" borderId="0" xfId="0" applyNumberFormat="1" applyFont="1" applyFill="1" applyBorder="1" applyAlignment="1">
      <x:alignment horizontal="center" vertical="center"/>
    </x:xf>
  </x:cellXfs>
  <x:cellStyles count="1">
    <x:cellStyle name="Normal" xfId="0"/>
  </x:cellStyles>
  <x:dxfs count="4">
    <x:dxf>
      <x:font>
        <x:b/>
        <x:color rgb="FF9E3025"/>
      </x:font>
      <x:fill>
        <x:patternFill patternType="solid">
          <x:bgColor rgb="FFFCE5E1"/>
        </x:patternFill>
      </x:fill>
    </x:dxf>
    <x:dxf>
      <x:font>
        <x:color rgb="FF6C6256"/>
      </x:font>
      <x:fill>
        <x:patternFill patternType="solid">
          <x:bgColor rgb="FFEEE9E0"/>
        </x:patternFill>
      </x:fill>
    </x:dxf>
    <x:dxf>
      <x:font>
        <x:color rgb="FF355D49"/>
      </x:font>
      <x:fill>
        <x:patternFill patternType="solid">
          <x:bgColor rgb="FFE2EDE3"/>
        </x:patternFill>
      </x:fill>
    </x:dxf>
    <x:dxf>
      <x:font>
        <x:color rgb="FF9E3025"/>
      </x:font>
      <x:fill>
        <x:patternFill patternType="solid">
          <x:bgColor rgb="FFFCE5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b7e12180d44408" /><Relationship Type="http://schemas.openxmlformats.org/officeDocument/2006/relationships/theme" Target="/xl/theme/theme1.xml" Id="R03cb68a69c474d51" /><Relationship Type="http://schemas.openxmlformats.org/officeDocument/2006/relationships/sharedStrings" Target="/xl/sharedStrings.xml" Id="Ra30b184b2f8c44f8" /><Relationship Type="http://schemas.openxmlformats.org/officeDocument/2006/relationships/worksheet" Target="/xl/worksheets/sheet1.xml" Id="Rab01da2b4b7845c3" /><Relationship Type="http://schemas.openxmlformats.org/officeDocument/2006/relationships/worksheet" Target="/xl/worksheets/sheet2.xml" Id="Rd3fe96f6ce254d61" /></Relationships>
</file>

<file path=xl/tables/table1.xml><?xml version="1.0" encoding="utf-8"?>
<x:table xmlns:x="http://schemas.openxmlformats.org/spreadsheetml/2006/main" id="1" name="TourTestCases" displayName="TourTestCases" ref="A8:L78" headerRowCount="1" totalsRowCount="0" totalsRowShown="0">
  <x:autoFilter ref="A8:L78"/>
  <x:tableColumns count="12">
    <x:tableColumn id="1" name="Mã test case"/>
    <x:tableColumn id="2" name="Chức năng"/>
    <x:tableColumn id="3" name="Tên ca kiểm thử"/>
    <x:tableColumn id="4" name="Loại"/>
    <x:tableColumn id="5" name="Điều kiện trước"/>
    <x:tableColumn id="6" name="Dữ liệu kiểm thử"/>
    <x:tableColumn id="7" name="Các bước thực hiện"/>
    <x:tableColumn id="8" name="Kết quả mong đợi"/>
    <x:tableColumn id="9" name="Kết quả thực tế"/>
    <x:tableColumn id="10" name="Trạng thái"/>
    <x:tableColumn id="11" name="Căn cứ / ghi chú"/>
    <x:tableColumn id="12" name="Minh chứng / mã lỗi"/>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343e7df8cd4b1a" /></Relationships>
</file>

<file path=xl/worksheets/sheet1.xml><?xml version="1.0" encoding="utf-8"?>
<x:worksheet xmlns:x="http://schemas.openxmlformats.org/spreadsheetml/2006/main">
  <x:sheetPr>
    <x:tabColor rgb="FF355D49"/>
  </x:sheetPr>
  <x:sheetViews>
    <x:sheetView showGridLines="0" workbookViewId="0">
      <x:pane xSplit="2" ySplit="8" topLeftCell="C9" activePane="bottomRight" state="frozen"/>
    </x:sheetView>
  </x:sheetViews>
  <x:sheetFormatPr defaultRowHeight="15"/>
  <x:cols>
    <x:col min="1" max="1" width="11.109999656677246" hidden="0" customWidth="1"/>
    <x:col min="2" max="2" width="17.780000686645508" hidden="0" customWidth="1"/>
    <x:col min="3" max="3" width="27.780000686645508" hidden="0" customWidth="1"/>
    <x:col min="4" max="4" width="13.329999923706055" hidden="0" customWidth="1"/>
    <x:col min="5" max="5" width="30" hidden="0" customWidth="1"/>
    <x:col min="6" max="6" width="36.66999816894531" hidden="0" customWidth="1"/>
    <x:col min="7" max="7" width="40" hidden="0" customWidth="1"/>
    <x:col min="8" max="8" width="45.560001373291016" hidden="0" customWidth="1"/>
    <x:col min="9" max="9" width="28.889999389648438" hidden="0" customWidth="1"/>
    <x:col min="10" max="10" width="15" hidden="0" customWidth="1"/>
    <x:col min="11" max="11" width="44.439998626708984" hidden="0" customWidth="1"/>
    <x:col min="12" max="12" width="24.440000534057617" hidden="0" customWidth="1"/>
  </x:cols>
  <x:sheetData>
    <x:row r="1">
      <x:c r="A1" s="2"/>
      <x:c r="B1" s="2"/>
      <x:c r="C1" s="2"/>
      <x:c r="D1" s="2"/>
      <x:c r="E1" s="2"/>
      <x:c r="F1" s="2"/>
      <x:c r="G1" s="2"/>
      <x:c r="H1" s="2"/>
      <x:c r="I1" s="2"/>
      <x:c r="J1" s="2"/>
      <x:c r="K1" s="2"/>
      <x:c r="L1" s="2"/>
    </x:row>
    <x:row r="2" ht="30" customHeight="1">
      <x:c r="A2" s="3" t="str">
        <x:v>Ca kiểm thử quản lý công ty du lịch</x:v>
      </x:c>
      <x:c r="B2" s="2"/>
      <x:c r="C2" s="2"/>
      <x:c r="D2" s="2"/>
      <x:c r="E2" s="2"/>
      <x:c r="F2" s="2"/>
      <x:c r="G2" s="2"/>
      <x:c r="H2" s="2"/>
      <x:c r="I2" s="2"/>
      <x:c r="J2" s="2"/>
      <x:c r="K2" s="2"/>
      <x:c r="L2" s="2"/>
    </x:row>
    <x:row r="3">
      <x:c r="A3" s="2"/>
      <x:c r="B3" s="2"/>
      <x:c r="C3" s="2"/>
      <x:c r="D3" s="2"/>
      <x:c r="E3" s="2"/>
      <x:c r="F3" s="2"/>
      <x:c r="G3" s="2"/>
      <x:c r="H3" s="2"/>
      <x:c r="I3" s="2"/>
      <x:c r="J3" s="2"/>
      <x:c r="K3" s="2"/>
      <x:c r="L3" s="2"/>
    </x:row>
    <x:row r="4" ht="28" customHeight="1">
      <x:c r="A4" s="4" t="str">
        <x:v>Tổng số ca</x:v>
      </x:c>
      <x:c r="B4" s="7" t="n">
        <x:f>COUNTA(A9:A78)</x:f>
        <x:v>70</x:v>
      </x:c>
      <x:c r="C4" s="4" t="str">
        <x:v>Pass</x:v>
      </x:c>
      <x:c r="D4" s="7" t="n">
        <x:f>COUNTIFS(J9:J78,"Pass")</x:f>
        <x:v>0</x:v>
      </x:c>
      <x:c r="E4" s="4" t="str">
        <x:v>Fail</x:v>
      </x:c>
      <x:c r="F4" s="7" t="n">
        <x:f>COUNTIFS(J9:J78,"Fail")</x:f>
        <x:v>0</x:v>
      </x:c>
      <x:c r="G4" s="4" t="str">
        <x:v>Chưa chạy</x:v>
      </x:c>
      <x:c r="H4" s="7" t="n">
        <x:f>COUNTIFS(J9:J78,"Chưa chạy")</x:f>
        <x:v>70</x:v>
      </x:c>
      <x:c r="I4" s="4" t="str">
        <x:v>Blocked</x:v>
      </x:c>
      <x:c r="J4" s="7" t="n">
        <x:f>COUNTIFS(J9:J78,"Blocked")</x:f>
        <x:v>0</x:v>
      </x:c>
      <x:c r="K4" s="4" t="str">
        <x:v>Đã chạy</x:v>
      </x:c>
      <x:c r="L4" s="7" t="n">
        <x:f>SUM(D4,F4)</x:f>
        <x:v>0</x:v>
      </x:c>
    </x:row>
    <x:row r="5" ht="23" customHeight="1">
      <x:c r="A5" s="8" t="str">
        <x:v>Chạy ứng dụng rồi điền các cột nền vàng: kết quả thực tế, trạng thái và minh chứng.</x:v>
      </x:c>
      <x:c r="B5" s="8"/>
      <x:c r="C5" s="8"/>
      <x:c r="D5" s="8"/>
      <x:c r="E5" s="8"/>
      <x:c r="F5" s="8"/>
      <x:c r="G5" s="8"/>
      <x:c r="H5" s="8"/>
      <x:c r="I5" s="8"/>
      <x:c r="J5" s="8"/>
      <x:c r="K5" s="8"/>
      <x:c r="L5" s="8"/>
    </x:row>
    <x:row r="6" ht="23" customHeight="1">
      <x:c r="A6" s="8" t="str">
        <x:v>Đối chiếu hướng dẫn và dữ liệu chuẩn bị ở sheet HuongDan. Chưa có kết quả thực thi WinForms/SQL.</x:v>
      </x:c>
      <x:c r="B6" s="8"/>
      <x:c r="C6" s="8"/>
      <x:c r="D6" s="8"/>
      <x:c r="E6" s="8"/>
      <x:c r="F6" s="8"/>
      <x:c r="G6" s="8"/>
      <x:c r="H6" s="8"/>
      <x:c r="I6" s="8"/>
      <x:c r="J6" s="8"/>
      <x:c r="K6" s="8"/>
      <x:c r="L6" s="8"/>
    </x:row>
    <x:row r="7" ht="10" customHeight="1">
      <x:c r="A7" s="2"/>
      <x:c r="B7" s="2"/>
      <x:c r="C7" s="2"/>
      <x:c r="D7" s="2"/>
      <x:c r="E7" s="2"/>
      <x:c r="F7" s="2"/>
      <x:c r="G7" s="2"/>
      <x:c r="H7" s="2"/>
      <x:c r="I7" s="2"/>
      <x:c r="J7" s="2"/>
      <x:c r="K7" s="2"/>
      <x:c r="L7" s="2"/>
    </x:row>
    <x:row r="8" ht="38" customHeight="1">
      <x:c r="A8" s="17" t="str">
        <x:v>Mã test case</x:v>
      </x:c>
      <x:c r="B8" s="18" t="str">
        <x:v>Chức năng</x:v>
      </x:c>
      <x:c r="C8" s="18" t="str">
        <x:v>Tên ca kiểm thử</x:v>
      </x:c>
      <x:c r="D8" s="18" t="str">
        <x:v>Loại</x:v>
      </x:c>
      <x:c r="E8" s="18" t="str">
        <x:v>Điều kiện trước</x:v>
      </x:c>
      <x:c r="F8" s="18" t="str">
        <x:v>Dữ liệu kiểm thử</x:v>
      </x:c>
      <x:c r="G8" s="18" t="str">
        <x:v>Các bước thực hiện</x:v>
      </x:c>
      <x:c r="H8" s="18" t="str">
        <x:v>Kết quả mong đợi</x:v>
      </x:c>
      <x:c r="I8" s="18" t="str">
        <x:v>Kết quả thực tế</x:v>
      </x:c>
      <x:c r="J8" s="18" t="str">
        <x:v>Trạng thái</x:v>
      </x:c>
      <x:c r="K8" s="18" t="str">
        <x:v>Căn cứ / ghi chú</x:v>
      </x:c>
      <x:c r="L8" s="19" t="str">
        <x:v>Minh chứng / mã lỗi</x:v>
      </x:c>
    </x:row>
    <x:row r="9" ht="59" customHeight="1">
      <x:c r="A9" s="31" t="str">
        <x:v>MAIN-01</x:v>
      </x:c>
      <x:c r="B9" s="27" t="str">
        <x:v>Giao diện chính</x:v>
      </x:c>
      <x:c r="C9" s="23" t="str">
        <x:v>Mở đủ 8 màn hình nghiệp vụ</x:v>
      </x:c>
      <x:c r="D9" s="27" t="str">
        <x:v>Hợp lệ</x:v>
      </x:c>
      <x:c r="E9" s="23" t="str">
        <x:v>CSDL thử nghiệm có dữ liệu mẫu; SQL kết nối thành công.</x:v>
      </x:c>
      <x:c r="F9" s="23" t="str">
        <x:v>8 chức năng trong Tổng quan.</x:v>
      </x:c>
      <x:c r="G9" s="23" t="str">
        <x:v>1. Mở từng chức năng.
2. Kiểm tra tiêu đề và dữ liệu.
3. Đóng form để thử chức năng tiếp theo.</x:v>
      </x:c>
      <x:c r="H9" s="23" t="str">
        <x:v>Mở đúng form, dữ liệu tải được; đóng form trở về cửa sổ chính.</x:v>
      </x:c>
      <x:c r="I9" s="35" t="str"/>
      <x:c r="J9" s="39" t="str">
        <x:v>Chưa chạy</x:v>
      </x:c>
      <x:c r="K9" s="23" t="str">
        <x:v>FrmMain.OpenFeature; thực hiện đủ 8 lượt.</x:v>
      </x:c>
      <x:c r="L9" s="35" t="str"/>
    </x:row>
    <x:row r="10" ht="48" customHeight="1">
      <x:c r="A10" s="32" t="str">
        <x:v>MAIN-02</x:v>
      </x:c>
      <x:c r="B10" s="28" t="str">
        <x:v>Giao diện chính</x:v>
      </x:c>
      <x:c r="C10" s="24" t="str">
        <x:v>Lọc theo nhóm nghiệp vụ</x:v>
      </x:c>
      <x:c r="D10" s="28" t="str">
        <x:v>Giao diện</x:v>
      </x:c>
      <x:c r="E10" s="24" t="str">
        <x:v>Cửa sổ chính đang mở; ô tìm kiếm trống.</x:v>
      </x:c>
      <x:c r="F10" s="24" t="str">
        <x:v>Thiết lập; Đăng ký; Điều hành; Báo cáo.</x:v>
      </x:c>
      <x:c r="G10" s="24" t="str">
        <x:v>1. Chọn lần lượt bốn nhóm.
2. Đếm thẻ và xem tên chức năng.</x:v>
      </x:c>
      <x:c r="H10" s="24" t="str">
        <x:v>Lần lượt có 2, 2, 3, 1 chức năng; nhóm đang chọn được làm nổi bật.</x:v>
      </x:c>
      <x:c r="I10" s="36" t="str"/>
      <x:c r="J10" s="40" t="str">
        <x:v>Chưa chạy</x:v>
      </x:c>
      <x:c r="K10" s="24" t="str">
        <x:v>FrmMain.SelectGroup và RenderFeatures.</x:v>
      </x:c>
      <x:c r="L10" s="36" t="str"/>
    </x:row>
    <x:row r="11" ht="48" customHeight="1">
      <x:c r="A11" s="32" t="str">
        <x:v>MAIN-03</x:v>
      </x:c>
      <x:c r="B11" s="28" t="str">
        <x:v>Giao diện chính</x:v>
      </x:c>
      <x:c r="C11" s="24" t="str">
        <x:v>Tìm kiếm không dấu và chữ hoa</x:v>
      </x:c>
      <x:c r="D11" s="28" t="str">
        <x:v>Giao diện</x:v>
      </x:c>
      <x:c r="E11" s="24" t="str">
        <x:v>Chọn Tổng quan.</x:v>
      </x:c>
      <x:c r="F11" s="24" t="str">
        <x:v>PHAN CONG</x:v>
      </x:c>
      <x:c r="G11" s="24" t="str">
        <x:v>1. Nhấn Ctrl+F.
2. Nhập PHAN CONG.</x:v>
      </x:c>
      <x:c r="H11" s="24" t="str">
        <x:v>Chỉ hiện Phân công hướng dẫn viên; số chức năng là 1.</x:v>
      </x:c>
      <x:c r="I11" s="36" t="str"/>
      <x:c r="J11" s="40" t="str">
        <x:v>Chưa chạy</x:v>
      </x:c>
      <x:c r="K11" s="24" t="str">
        <x:v>FrmMain: so sánh bỏ dấu, không phân biệt chữ hoa/thường.</x:v>
      </x:c>
      <x:c r="L11" s="36" t="str"/>
    </x:row>
    <x:row r="12" ht="59" customHeight="1">
      <x:c r="A12" s="32" t="str">
        <x:v>MAIN-04</x:v>
      </x:c>
      <x:c r="B12" s="28" t="str">
        <x:v>Giao diện chính</x:v>
      </x:c>
      <x:c r="C12" s="24" t="str">
        <x:v>Từ khóa không có kết quả và xóa tìm</x:v>
      </x:c>
      <x:c r="D12" s="28" t="str">
        <x:v>Giao diện</x:v>
      </x:c>
      <x:c r="E12" s="24" t="str">
        <x:v>Chọn Tổng quan.</x:v>
      </x:c>
      <x:c r="F12" s="24" t="str">
        <x:v>zzzz9999; phím Esc.</x:v>
      </x:c>
      <x:c r="G12" s="24" t="str">
        <x:v>1. Nhập từ khóa.
2. Kiểm tra thông báo.
3. Nhấn Esc trong ô tìm kiếm.</x:v>
      </x:c>
      <x:c r="H12" s="24" t="str">
        <x:v>Hiện thông báo không tìm thấy; Esc xóa từ khóa và hiện lại 8 chức năng.</x:v>
      </x:c>
      <x:c r="I12" s="36" t="str"/>
      <x:c r="J12" s="40" t="str">
        <x:v>Chưa chạy</x:v>
      </x:c>
      <x:c r="K12" s="24" t="str">
        <x:v>FrmMain.RenderFeatures và ProcessCmdKey.</x:v>
      </x:c>
      <x:c r="L12" s="36" t="str"/>
    </x:row>
    <x:row r="13" ht="59" customHeight="1">
      <x:c r="A13" s="32" t="str">
        <x:v>MAIN-05</x:v>
      </x:c>
      <x:c r="B13" s="28" t="str">
        <x:v>Giao diện chính</x:v>
      </x:c>
      <x:c r="C13" s="24" t="str">
        <x:v>Thu nhỏ và cuộn giao diện</x:v>
      </x:c>
      <x:c r="D13" s="28" t="str">
        <x:v>Giao diện</x:v>
      </x:c>
      <x:c r="E13" s="24" t="str">
        <x:v>Cửa sổ chính đang mở.</x:v>
      </x:c>
      <x:c r="F13" s="24" t="str">
        <x:v>Kích thước gần 980 x 640; Ctrl+8.</x:v>
      </x:c>
      <x:c r="G13" s="24" t="str">
        <x:v>1. Thu nhỏ cửa sổ.
2. Cuộn đến chức năng cuối.
3. Nhấn Ctrl+8 và đóng form.</x:v>
      </x:c>
      <x:c r="H13" s="24" t="str">
        <x:v>Thẻ chuyển một cột; đọc được và mở được chức năng cuối; Ctrl+8 mở Lương và thống kê.</x:v>
      </x:c>
      <x:c r="I13" s="36" t="str"/>
      <x:c r="J13" s="40" t="str">
        <x:v>Chưa chạy</x:v>
      </x:c>
      <x:c r="K13" s="24" t="str">
        <x:v>FrmMain.GetColumnCount; kiểm tra trên màn hình thật.</x:v>
      </x:c>
      <x:c r="L13" s="36" t="str"/>
    </x:row>
    <x:row r="14" ht="48" customHeight="1">
      <x:c r="A14" s="32" t="str">
        <x:v>MAIN-06</x:v>
      </x:c>
      <x:c r="B14" s="28" t="str">
        <x:v>Giao diện chính</x:v>
      </x:c>
      <x:c r="C14" s="24" t="str">
        <x:v>Kiểm tra SQL với cấu hình đúng</x:v>
      </x:c>
      <x:c r="D14" s="28" t="str">
        <x:v>Hợp lệ</x:v>
      </x:c>
      <x:c r="E14" s="24" t="str">
        <x:v>App.config trỏ đúng SQL Server đang chạy.</x:v>
      </x:c>
      <x:c r="F14" s="24" t="str">
        <x:v>Nút Kiểm tra kết nối.</x:v>
      </x:c>
      <x:c r="G14" s="24" t="str">
        <x:v>1. Bấm kiểm tra.
2. Quan sát trạng thái và tên CSDL.</x:v>
      </x:c>
      <x:c r="H14" s="24" t="str">
        <x:v>Hiện kết nối thành công và đúng tên CSDL; nút được bật lại sau khi kiểm tra.</x:v>
      </x:c>
      <x:c r="I14" s="36" t="str"/>
      <x:c r="J14" s="40" t="str">
        <x:v>Chưa chạy</x:v>
      </x:c>
      <x:c r="K14" s="24" t="str">
        <x:v>FrmMain.CheckConnection; không thay đổi dữ liệu.</x:v>
      </x:c>
      <x:c r="L14" s="36" t="str"/>
    </x:row>
    <x:row r="15" ht="59" customHeight="1">
      <x:c r="A15" s="32" t="str">
        <x:v>MAIN-07</x:v>
      </x:c>
      <x:c r="B15" s="28" t="str">
        <x:v>Giao diện chính</x:v>
      </x:c>
      <x:c r="C15" s="24" t="str">
        <x:v>SQL sai cấu hình hoặc không hoạt động</x:v>
      </x:c>
      <x:c r="D15" s="28" t="str">
        <x:v>Không hợp lệ</x:v>
      </x:c>
      <x:c r="E15" s="24" t="str">
        <x:v>Dùng bản App.config thử với server không tồn tại; chạy lại ứng dụng.</x:v>
      </x:c>
      <x:c r="F15" s="24" t="str">
        <x:v>Data Source không tồn tại.</x:v>
      </x:c>
      <x:c r="G15" s="24" t="str">
        <x:v>1. Bấm kiểm tra.
2. Trong lúc chờ, thử tìm chức năng.
3. Đóng thông báo lỗi.</x:v>
      </x:c>
      <x:c r="H15" s="24" t="str">
        <x:v>Giao diện vẫn phản hồi; báo kết nối không thành công, không thoát ứng dụng; nút được bật lại.</x:v>
      </x:c>
      <x:c r="I15" s="36" t="str"/>
      <x:c r="J15" s="40" t="str">
        <x:v>Chưa chạy</x:v>
      </x:c>
      <x:c r="K15" s="24" t="str">
        <x:v>Khôi phục cấu hình đúng trước các ca khác.</x:v>
      </x:c>
      <x:c r="L15" s="36" t="str"/>
    </x:row>
    <x:row r="16" ht="48" customHeight="1">
      <x:c r="A16" s="32" t="str">
        <x:v>MAIN-08</x:v>
      </x:c>
      <x:c r="B16" s="28" t="str">
        <x:v>Giao diện chính</x:v>
      </x:c>
      <x:c r="C16" s="24" t="str">
        <x:v>Màu nút và bảng nhiều cột</x:v>
      </x:c>
      <x:c r="D16" s="28" t="str">
        <x:v>Giao diện</x:v>
      </x:c>
      <x:c r="E16" s="24" t="str">
        <x:v>CSDL thử nghiệm có dữ liệu mẫu; SQL kết nối thành công.</x:v>
      </x:c>
      <x:c r="F16" s="24" t="str">
        <x:v>Form Tour và Đăng ký đoàn; cửa sổ thu nhỏ.</x:v>
      </x:c>
      <x:c r="G16" s="24" t="str">
        <x:v>1. Mở Tour, xem nút Thêm/Sửa/Xóa/Tải.
2. Mở Đăng ký đoàn và cuộn bảng ngang.</x:v>
      </x:c>
      <x:c r="H16" s="24" t="str">
        <x:v>Thêm xanh rêu, Sửa vàng đất, Xóa đỏ gạch, Tải xanh nhạt; các cột cuối có thể xem bằng cuộn ngang.</x:v>
      </x:c>
      <x:c r="I16" s="36" t="str"/>
      <x:c r="J16" s="40" t="str">
        <x:v>Chưa chạy</x:v>
      </x:c>
      <x:c r="K16" s="24" t="str">
        <x:v>UiStyle.Apply, StyleActionButton và SetColumnWidths.</x:v>
      </x:c>
      <x:c r="L16" s="36" t="str"/>
    </x:row>
    <x:row r="17" ht="59" customHeight="1">
      <x:c r="A17" s="33" t="str">
        <x:v>DM-01</x:v>
      </x:c>
      <x:c r="B17" s="29" t="str">
        <x:v>Danh mục</x:v>
      </x:c>
      <x:c r="C17" s="25" t="str">
        <x:v>Thêm phương tiện mới</x:v>
      </x:c>
      <x:c r="D17" s="29" t="str">
        <x:v>Hợp lệ</x:v>
      </x:c>
      <x:c r="E17" s="25" t="str">
        <x:v>CSDL thử nghiệm có dữ liệu mẫu; SQL kết nối thành công. Chưa có PT_TC01.</x:v>
      </x:c>
      <x:c r="F17" s="25" t="str">
        <x:v>Mã PT_TC01; tên Xe kiểm thử; thông tin Xe 16 chỗ.</x:v>
      </x:c>
      <x:c r="G17" s="25" t="str">
        <x:v>1. Chọn Phương tiện.
2. Nhập dữ liệu và bấm Thêm.
3. Bấm Tải.</x:v>
      </x:c>
      <x:c r="H17" s="25" t="str">
        <x:v>Có đúng một dòng PT_TC01 với dữ liệu đã nhập.</x:v>
      </x:c>
      <x:c r="I17" s="35" t="str"/>
      <x:c r="J17" s="39" t="str">
        <x:v>Chưa chạy</x:v>
      </x:c>
      <x:c r="K17" s="25" t="str">
        <x:v>DanhMucService.Add; bảng PhuongTien.</x:v>
      </x:c>
      <x:c r="L17" s="35" t="str"/>
    </x:row>
    <x:row r="18" ht="48" customHeight="1">
      <x:c r="A18" s="34" t="str">
        <x:v>DM-02</x:v>
      </x:c>
      <x:c r="B18" s="30" t="str">
        <x:v>Danh mục</x:v>
      </x:c>
      <x:c r="C18" s="26" t="str">
        <x:v>Từ chối mã phương tiện trùng</x:v>
      </x:c>
      <x:c r="D18" s="30" t="str">
        <x:v>Không hợp lệ</x:v>
      </x:c>
      <x:c r="E18" s="26" t="str">
        <x:v>CSDL thử nghiệm có dữ liệu mẫu; SQL kết nối thành công. Đã có PT01.</x:v>
      </x:c>
      <x:c r="F18" s="26" t="str">
        <x:v>Mã PT01; tên Xe mới.</x:v>
      </x:c>
      <x:c r="G18" s="26" t="str">
        <x:v>1. Chọn Phương tiện.
2. Nhập mã đã có và bấm Thêm.</x:v>
      </x:c>
      <x:c r="H18" s="26" t="str">
        <x:v>Báo lỗi trùng mã; không thêm dòng; PT01 gốc không thay đổi.</x:v>
      </x:c>
      <x:c r="I18" s="36" t="str"/>
      <x:c r="J18" s="40" t="str">
        <x:v>Chưa chạy</x:v>
      </x:c>
      <x:c r="K18" s="26" t="str">
        <x:v>PK_PhuongTien.</x:v>
      </x:c>
      <x:c r="L18" s="36" t="str"/>
    </x:row>
    <x:row r="19" ht="48" customHeight="1">
      <x:c r="A19" s="34" t="str">
        <x:v>DM-03</x:v>
      </x:c>
      <x:c r="B19" s="30" t="str">
        <x:v>Danh mục</x:v>
      </x:c>
      <x:c r="C19" s="26" t="str">
        <x:v>Xóa danh mục chưa được sử dụng</x:v>
      </x:c>
      <x:c r="D19" s="30" t="str">
        <x:v>Hợp lệ</x:v>
      </x:c>
      <x:c r="E19" s="26" t="str">
        <x:v>DM-01 đã tạo PT_TC01; chưa gắn phương tiện này vào tour.</x:v>
      </x:c>
      <x:c r="F19" s="26" t="str">
        <x:v>Mã PT_TC01.</x:v>
      </x:c>
      <x:c r="G19" s="26" t="str">
        <x:v>1. Chọn Phương tiện, chọn dòng PT_TC01.
2. Bấm Xóa rồi Tải.</x:v>
      </x:c>
      <x:c r="H19" s="26" t="str">
        <x:v>PT_TC01 không còn trong danh sách; các dòng khác giữ nguyên.</x:v>
      </x:c>
      <x:c r="I19" s="36" t="str"/>
      <x:c r="J19" s="40" t="str">
        <x:v>Chưa chạy</x:v>
      </x:c>
      <x:c r="K19" s="26" t="str">
        <x:v>DanhMucService.Delete; phụ thuộc DM-01.</x:v>
      </x:c>
      <x:c r="L19" s="36" t="str"/>
    </x:row>
    <x:row r="20" ht="59" customHeight="1">
      <x:c r="A20" s="34" t="str">
        <x:v>DM-04</x:v>
      </x:c>
      <x:c r="B20" s="30" t="str">
        <x:v>Danh mục</x:v>
      </x:c>
      <x:c r="C20" s="26" t="str">
        <x:v>Từ chối xóa danh mục đã được tham chiếu</x:v>
      </x:c>
      <x:c r="D20" s="30" t="str">
        <x:v>Không hợp lệ</x:v>
      </x:c>
      <x:c r="E20" s="26" t="str">
        <x:v>CSDL thử nghiệm có dữ liệu mẫu; SQL kết nối thành công. PT01 được dùng trong TourPhuongTien.</x:v>
      </x:c>
      <x:c r="F20" s="26" t="str">
        <x:v>Mã PT01.</x:v>
      </x:c>
      <x:c r="G20" s="26" t="str">
        <x:v>1. Chọn Phương tiện và dòng PT01.
2. Bấm Xóa.</x:v>
      </x:c>
      <x:c r="H20" s="26" t="str">
        <x:v>Báo không thể xóa dữ liệu đang được sử dụng; PT01 và quan hệ tour còn nguyên.</x:v>
      </x:c>
      <x:c r="I20" s="36" t="str"/>
      <x:c r="J20" s="40" t="str">
        <x:v>Chưa chạy</x:v>
      </x:c>
      <x:c r="K20" s="26" t="str">
        <x:v>Khóa ngoại TourPhuongTien → PhuongTien.</x:v>
      </x:c>
      <x:c r="L20" s="36" t="str"/>
    </x:row>
    <x:row r="21" ht="48" customHeight="1">
      <x:c r="A21" s="34" t="str">
        <x:v>DM-05</x:v>
      </x:c>
      <x:c r="B21" s="30" t="str">
        <x:v>Danh mục</x:v>
      </x:c>
      <x:c r="C21" s="26" t="str">
        <x:v>Thêm hướng dẫn viên</x:v>
      </x:c>
      <x:c r="D21" s="30" t="str">
        <x:v>Hợp lệ</x:v>
      </x:c>
      <x:c r="E21" s="26" t="str">
        <x:v>CSDL thử nghiệm có dữ liệu mẫu; SQL kết nối thành công. Chưa có HDV_TC01.</x:v>
      </x:c>
      <x:c r="F21" s="26" t="str">
        <x:v>Mã HDV_TC01; tên Nguyễn An; điện thoại 0900000001; Thông tin 2 = 8000000.</x:v>
      </x:c>
      <x:c r="G21" s="26" t="str">
        <x:v>1. Chọn Hướng dẫn viên.
2. Nhập dữ liệu và bấm Thêm.</x:v>
      </x:c>
      <x:c r="H21" s="26" t="str">
        <x:v>Có HDV_TC01, lương cơ bản 8.000.000 đồng, trạng thái đang làm việc.</x:v>
      </x:c>
      <x:c r="I21" s="36" t="str"/>
      <x:c r="J21" s="40" t="str">
        <x:v>Chưa chạy</x:v>
      </x:c>
      <x:c r="K21" s="26" t="str">
        <x:v>DanhMucService.Add: Thông tin 2 là lương cơ bản.</x:v>
      </x:c>
      <x:c r="L21" s="36" t="str"/>
    </x:row>
    <x:row r="22" ht="48" customHeight="1">
      <x:c r="A22" s="34" t="str">
        <x:v>DM-06</x:v>
      </x:c>
      <x:c r="B22" s="30" t="str">
        <x:v>Danh mục</x:v>
      </x:c>
      <x:c r="C22" s="26" t="str">
        <x:v>Từ chối lương cơ bản âm</x:v>
      </x:c>
      <x:c r="D22" s="30" t="str">
        <x:v>Không hợp lệ</x:v>
      </x:c>
      <x:c r="E22" s="26" t="str">
        <x:v>CSDL thử nghiệm có dữ liệu mẫu; SQL kết nối thành công. Chưa có HDV_TC_NEG.</x:v>
      </x:c>
      <x:c r="F22" s="26" t="str">
        <x:v>Mã HDV_TC_NEG; tên Khách kiểm thử; Thông tin 2 = -1.</x:v>
      </x:c>
      <x:c r="G22" s="26" t="str">
        <x:v>1. Chọn Hướng dẫn viên.
2. Nhập lương âm và bấm Thêm.</x:v>
      </x:c>
      <x:c r="H22" s="26" t="str">
        <x:v>Báo dữ liệu không hợp lệ; không lưu HDV_TC_NEG.</x:v>
      </x:c>
      <x:c r="I22" s="36" t="str"/>
      <x:c r="J22" s="40" t="str">
        <x:v>Chưa chạy</x:v>
      </x:c>
      <x:c r="K22" s="26" t="str">
        <x:v>CK_HDV_Luong: LuongCoBan &gt;= 0.</x:v>
      </x:c>
      <x:c r="L22" s="36" t="str"/>
    </x:row>
    <x:row r="23" ht="48" customHeight="1">
      <x:c r="A23" s="31" t="str">
        <x:v>TOUR-01</x:v>
      </x:c>
      <x:c r="B23" s="27" t="str">
        <x:v>Tour và hành trình</x:v>
      </x:c>
      <x:c r="C23" s="23" t="str">
        <x:v>Thêm tour hợp lệ</x:v>
      </x:c>
      <x:c r="D23" s="27" t="str">
        <x:v>Hợp lệ</x:v>
      </x:c>
      <x:c r="E23" s="23" t="str">
        <x:v>CSDL thử nghiệm có dữ liệu mẫu; SQL kết nối thành công. Chưa có T_TC01.</x:v>
      </x:c>
      <x:c r="F23" s="23" t="str">
        <x:v>T_TC01; Tour kiểm thử; 3 ngày; 2 đêm; giá 500000; đang mở bán.</x:v>
      </x:c>
      <x:c r="G23" s="23" t="str">
        <x:v>1. Nhập dữ liệu.
2. Bấm Thêm rồi Tải.</x:v>
      </x:c>
      <x:c r="H23" s="23" t="str">
        <x:v>Lưu một tour mới với đúng số ngày, số đêm, giá và trạng thái.</x:v>
      </x:c>
      <x:c r="I23" s="35" t="str"/>
      <x:c r="J23" s="39" t="str">
        <x:v>Chưa chạy</x:v>
      </x:c>
      <x:c r="K23" s="23" t="str">
        <x:v>TourService.Insert; CK_Tour_*.</x:v>
      </x:c>
      <x:c r="L23" s="35" t="str"/>
    </x:row>
    <x:row r="24" ht="48" customHeight="1">
      <x:c r="A24" s="32" t="str">
        <x:v>TOUR-02</x:v>
      </x:c>
      <x:c r="B24" s="28" t="str">
        <x:v>Tour và hành trình</x:v>
      </x:c>
      <x:c r="C24" s="24" t="str">
        <x:v>Từ chối mã tour trùng</x:v>
      </x:c>
      <x:c r="D24" s="28" t="str">
        <x:v>Không hợp lệ</x:v>
      </x:c>
      <x:c r="E24" s="24" t="str">
        <x:v>CSDL thử nghiệm có dữ liệu mẫu; SQL kết nối thành công. Đã có T001.</x:v>
      </x:c>
      <x:c r="F24" s="24" t="str">
        <x:v>T001; tên mới; 3 ngày; 2 đêm; giá 500000.</x:v>
      </x:c>
      <x:c r="G24" s="24" t="str">
        <x:v>1. Nhập mã T001.
2. Bấm Thêm.</x:v>
      </x:c>
      <x:c r="H24" s="24" t="str">
        <x:v>Báo trùng mã; dữ liệu T001 gốc không thay đổi.</x:v>
      </x:c>
      <x:c r="I24" s="36" t="str"/>
      <x:c r="J24" s="40" t="str">
        <x:v>Chưa chạy</x:v>
      </x:c>
      <x:c r="K24" s="24" t="str">
        <x:v>PK_Tour.</x:v>
      </x:c>
      <x:c r="L24" s="36" t="str"/>
    </x:row>
    <x:row r="25" ht="48" customHeight="1">
      <x:c r="A25" s="32" t="str">
        <x:v>TOUR-03</x:v>
      </x:c>
      <x:c r="B25" s="28" t="str">
        <x:v>Tour và hành trình</x:v>
      </x:c>
      <x:c r="C25" s="24" t="str">
        <x:v>Số ngày bằng 0</x:v>
      </x:c>
      <x:c r="D25" s="28" t="str">
        <x:v>Biên</x:v>
      </x:c>
      <x:c r="E25" s="24" t="str">
        <x:v>CSDL thử nghiệm có dữ liệu mẫu; SQL kết nối thành công. Chưa có T_TC_DAY0.</x:v>
      </x:c>
      <x:c r="F25" s="24" t="str">
        <x:v>T_TC_DAY0; 0 ngày; 0 đêm; giá 500000.</x:v>
      </x:c>
      <x:c r="G25" s="24" t="str">
        <x:v>1. Nhập dữ liệu.
2. Bấm Thêm.</x:v>
      </x:c>
      <x:c r="H25" s="24" t="str">
        <x:v>Từ chối vì số ngày phải lớn hơn 0; không lưu tour.</x:v>
      </x:c>
      <x:c r="I25" s="36" t="str"/>
      <x:c r="J25" s="40" t="str">
        <x:v>Chưa chạy</x:v>
      </x:c>
      <x:c r="K25" s="24" t="str">
        <x:v>CK_Tour_SoNgay.</x:v>
      </x:c>
      <x:c r="L25" s="36" t="str"/>
    </x:row>
    <x:row r="26" ht="48" customHeight="1">
      <x:c r="A26" s="32" t="str">
        <x:v>TOUR-04</x:v>
      </x:c>
      <x:c r="B26" s="28" t="str">
        <x:v>Tour và hành trình</x:v>
      </x:c>
      <x:c r="C26" s="24" t="str">
        <x:v>Số đêm bằng số ngày</x:v>
      </x:c>
      <x:c r="D26" s="28" t="str">
        <x:v>Biên</x:v>
      </x:c>
      <x:c r="E26" s="24" t="str">
        <x:v>CSDL thử nghiệm có dữ liệu mẫu; SQL kết nối thành công. Chưa có T_TC_NIGHT.</x:v>
      </x:c>
      <x:c r="F26" s="24" t="str">
        <x:v>T_TC_NIGHT; 3 ngày; 3 đêm; giá 500000.</x:v>
      </x:c>
      <x:c r="G26" s="24" t="str">
        <x:v>1. Nhập dữ liệu.
2. Bấm Thêm.</x:v>
      </x:c>
      <x:c r="H26" s="24" t="str">
        <x:v>Từ chối vì số đêm phải nhỏ hơn số ngày; không lưu tour.</x:v>
      </x:c>
      <x:c r="I26" s="36" t="str"/>
      <x:c r="J26" s="40" t="str">
        <x:v>Chưa chạy</x:v>
      </x:c>
      <x:c r="K26" s="24" t="str">
        <x:v>CK_Tour_SoDem.</x:v>
      </x:c>
      <x:c r="L26" s="36" t="str"/>
    </x:row>
    <x:row r="27" ht="48" customHeight="1">
      <x:c r="A27" s="32" t="str">
        <x:v>TOUR-05</x:v>
      </x:c>
      <x:c r="B27" s="28" t="str">
        <x:v>Tour và hành trình</x:v>
      </x:c>
      <x:c r="C27" s="24" t="str">
        <x:v>Đơn giá âm</x:v>
      </x:c>
      <x:c r="D27" s="28" t="str">
        <x:v>Không hợp lệ</x:v>
      </x:c>
      <x:c r="E27" s="24" t="str">
        <x:v>CSDL thử nghiệm có dữ liệu mẫu; SQL kết nối thành công. Chưa có T_TC_PRICE.</x:v>
      </x:c>
      <x:c r="F27" s="24" t="str">
        <x:v>T_TC_PRICE; 3 ngày; 2 đêm; giá -1.</x:v>
      </x:c>
      <x:c r="G27" s="24" t="str">
        <x:v>1. Nhập dữ liệu.
2. Bấm Thêm.</x:v>
      </x:c>
      <x:c r="H27" s="24" t="str">
        <x:v>Từ chối đơn giá âm; không lưu tour.</x:v>
      </x:c>
      <x:c r="I27" s="36" t="str"/>
      <x:c r="J27" s="40" t="str">
        <x:v>Chưa chạy</x:v>
      </x:c>
      <x:c r="K27" s="24" t="str">
        <x:v>CK_Tour_DonGia.</x:v>
      </x:c>
      <x:c r="L27" s="36" t="str"/>
    </x:row>
    <x:row r="28" ht="59" customHeight="1">
      <x:c r="A28" s="32" t="str">
        <x:v>TOUR-06</x:v>
      </x:c>
      <x:c r="B28" s="28" t="str">
        <x:v>Tour và hành trình</x:v>
      </x:c>
      <x:c r="C28" s="24" t="str">
        <x:v>Sửa thông tin tour</x:v>
      </x:c>
      <x:c r="D28" s="28" t="str">
        <x:v>Hợp lệ</x:v>
      </x:c>
      <x:c r="E28" s="24" t="str">
        <x:v>TOUR-01 đã tạo T_TC01.</x:v>
      </x:c>
      <x:c r="F28" s="24" t="str">
        <x:v>T_TC01; tên Tour đã sửa; 2 ngày; 1 đêm; giá 900000.</x:v>
      </x:c>
      <x:c r="G28" s="24" t="str">
        <x:v>1. Chọn dòng T_TC01.
2. Đổi dữ liệu và bấm Sửa.
3. Bấm Tải.</x:v>
      </x:c>
      <x:c r="H28" s="24" t="str">
        <x:v>Tour được cập nhật đúng; không tạo thêm dòng trùng.</x:v>
      </x:c>
      <x:c r="I28" s="36" t="str"/>
      <x:c r="J28" s="40" t="str">
        <x:v>Chưa chạy</x:v>
      </x:c>
      <x:c r="K28" s="24" t="str">
        <x:v>TourService.Update; phụ thuộc TOUR-01.</x:v>
      </x:c>
      <x:c r="L28" s="36" t="str"/>
    </x:row>
    <x:row r="29" ht="48" customHeight="1">
      <x:c r="A29" s="32" t="str">
        <x:v>TOUR-07</x:v>
      </x:c>
      <x:c r="B29" s="28" t="str">
        <x:v>Tour và hành trình</x:v>
      </x:c>
      <x:c r="C29" s="24" t="str">
        <x:v>Xóa tour chưa có dữ liệu liên quan</x:v>
      </x:c>
      <x:c r="D29" s="28" t="str">
        <x:v>Hợp lệ</x:v>
      </x:c>
      <x:c r="E29" s="24" t="str">
        <x:v>T_TC01 có tồn tại; chưa có chuyến hoặc đăng ký dùng tour này.</x:v>
      </x:c>
      <x:c r="F29" s="24" t="str">
        <x:v>T_TC01.</x:v>
      </x:c>
      <x:c r="G29" s="24" t="str">
        <x:v>1. Chọn dòng T_TC01.
2. Bấm Xóa rồi Tải.</x:v>
      </x:c>
      <x:c r="H29" s="24" t="str">
        <x:v>T_TC01 bị xóa; các tour khác còn nguyên.</x:v>
      </x:c>
      <x:c r="I29" s="36" t="str"/>
      <x:c r="J29" s="40" t="str">
        <x:v>Chưa chạy</x:v>
      </x:c>
      <x:c r="K29" s="24" t="str">
        <x:v>TourService.Delete; chạy sau TOUR-06.</x:v>
      </x:c>
      <x:c r="L29" s="36" t="str"/>
    </x:row>
    <x:row r="30" ht="48" customHeight="1">
      <x:c r="A30" s="32" t="str">
        <x:v>TOUR-08</x:v>
      </x:c>
      <x:c r="B30" s="28" t="str">
        <x:v>Tour và hành trình</x:v>
      </x:c>
      <x:c r="C30" s="24" t="str">
        <x:v>Hành trình xuất phát và kết thúc TP.HCM</x:v>
      </x:c>
      <x:c r="D30" s="28" t="str">
        <x:v>Yêu cầu</x:v>
      </x:c>
      <x:c r="E30" s="24" t="str">
        <x:v>Có tour 3 ngày; chuẩn bị thao tác quản lý điểm dừng.</x:v>
      </x:c>
      <x:c r="F30" s="24" t="str">
        <x:v>Hành trình TP.HCM → Mỹ Tho → Cần Thơ → TP.HCM.</x:v>
      </x:c>
      <x:c r="G30" s="24" t="str">
        <x:v>1. Nhập điểm dừng theo thứ tự.
2. Lưu và xem lại hành trình.</x:v>
      </x:c>
      <x:c r="H30" s="24" t="str">
        <x:v>Lưu đúng thứ tự, xuất phát và kết thúc tại TP.HCM.</x:v>
      </x:c>
      <x:c r="I30" s="36" t="str"/>
      <x:c r="J30" s="40" t="str">
        <x:v>Chưa chạy</x:v>
      </x:c>
      <x:c r="K30" s="24" t="str">
        <x:v>BR01; Tài liệu Bài 6, trang 4. FrmTour hiện chưa có phần quản lý hành trình.</x:v>
      </x:c>
      <x:c r="L30" s="36" t="str"/>
    </x:row>
    <x:row r="31" ht="48" customHeight="1">
      <x:c r="A31" s="32" t="str">
        <x:v>TOUR-09</x:v>
      </x:c>
      <x:c r="B31" s="28" t="str">
        <x:v>Tour và hành trình</x:v>
      </x:c>
      <x:c r="C31" s="24" t="str">
        <x:v>Hạng khách sạn tại biên 2 và 5 sao</x:v>
      </x:c>
      <x:c r="D31" s="28" t="str">
        <x:v>Biên</x:v>
      </x:c>
      <x:c r="E31" s="24" t="str">
        <x:v>Có màn hình điểm dừng của tour; chọn có khách sạn.</x:v>
      </x:c>
      <x:c r="F31" s="24" t="str">
        <x:v>Hai lượt: 2 sao và 5 sao.</x:v>
      </x:c>
      <x:c r="G31" s="24" t="str">
        <x:v>1. Nhập điểm dừng có khách sạn.
2. Thử lưu 2 sao và 5 sao ở hai bản ghi khác nhau.</x:v>
      </x:c>
      <x:c r="H31" s="24" t="str">
        <x:v>Chấp nhận cả 2 sao và 5 sao.</x:v>
      </x:c>
      <x:c r="I31" s="36" t="str"/>
      <x:c r="J31" s="40" t="str">
        <x:v>Chưa chạy</x:v>
      </x:c>
      <x:c r="K31" s="24" t="str">
        <x:v>BR02; Tài liệu Bài 6, trang 4. Chưa có control hạng khách sạn trong FrmTour.</x:v>
      </x:c>
      <x:c r="L31" s="36" t="str"/>
    </x:row>
    <x:row r="32" ht="59" customHeight="1">
      <x:c r="A32" s="32" t="str">
        <x:v>TOUR-10</x:v>
      </x:c>
      <x:c r="B32" s="28" t="str">
        <x:v>Tour và hành trình</x:v>
      </x:c>
      <x:c r="C32" s="24" t="str">
        <x:v>Hạng khách sạn ngoài khoảng</x:v>
      </x:c>
      <x:c r="D32" s="28" t="str">
        <x:v>Không hợp lệ</x:v>
      </x:c>
      <x:c r="E32" s="24" t="str">
        <x:v>Có màn hình điểm dừng của tour; chọn có khách sạn.</x:v>
      </x:c>
      <x:c r="F32" s="24" t="str">
        <x:v>Hai lượt độc lập: 1 sao và 6 sao.</x:v>
      </x:c>
      <x:c r="G32" s="24" t="str">
        <x:v>1. Nhập một trong hai giá trị.
2. Lưu và kiểm tra CSDL.
3. Lặp lại với giá trị còn lại.</x:v>
      </x:c>
      <x:c r="H32" s="24" t="str">
        <x:v>Từ chối từng giá trị; không lưu hạng khách sạn ngoài 2–5.</x:v>
      </x:c>
      <x:c r="I32" s="36" t="str"/>
      <x:c r="J32" s="40" t="str">
        <x:v>Chưa chạy</x:v>
      </x:c>
      <x:c r="K32" s="24" t="str">
        <x:v>BR02; Tài liệu Bài 6, trang 4. Hai lượt phải có kết quả riêng trong cột thực tế.</x:v>
      </x:c>
      <x:c r="L32" s="36" t="str"/>
    </x:row>
    <x:row r="33" ht="48" customHeight="1">
      <x:c r="A33" s="33" t="str">
        <x:v>CL-01</x:v>
      </x:c>
      <x:c r="B33" s="29" t="str">
        <x:v>Chuyến khách lẻ</x:v>
      </x:c>
      <x:c r="C33" s="25" t="str">
        <x:v>Tạo chuyến khách lẻ hợp lệ</x:v>
      </x:c>
      <x:c r="D33" s="29" t="str">
        <x:v>Hợp lệ</x:v>
      </x:c>
      <x:c r="E33" s="25" t="str">
        <x:v>CSDL thử nghiệm có dữ liệu mẫu; SQL kết nối thành công. Chưa có CL_TC01.</x:v>
      </x:c>
      <x:c r="F33" s="25" t="str">
        <x:v>CL_TC01; T001; 01/11/2026–03/11/2026; điểm đón Quận 1; Mở đăng ký.</x:v>
      </x:c>
      <x:c r="G33" s="25" t="str">
        <x:v>1. Chọn tour, nhập dữ liệu.
2. Bấm Thêm rồi Tải.</x:v>
      </x:c>
      <x:c r="H33" s="25" t="str">
        <x:v>Lưu chuyến đúng tour, ngày đi/về, điểm đón và trạng thái.</x:v>
      </x:c>
      <x:c r="I33" s="35" t="str"/>
      <x:c r="J33" s="39" t="str">
        <x:v>Chưa chạy</x:v>
      </x:c>
      <x:c r="K33" s="25" t="str">
        <x:v>ChuyenLeService.Add; QD02: tour 3 ngày.</x:v>
      </x:c>
      <x:c r="L33" s="35" t="str"/>
    </x:row>
    <x:row r="34" ht="48" customHeight="1">
      <x:c r="A34" s="34" t="str">
        <x:v>CL-02</x:v>
      </x:c>
      <x:c r="B34" s="30" t="str">
        <x:v>Chuyến khách lẻ</x:v>
      </x:c>
      <x:c r="C34" s="26" t="str">
        <x:v>Ngày về trước ngày đi</x:v>
      </x:c>
      <x:c r="D34" s="30" t="str">
        <x:v>Không hợp lệ</x:v>
      </x:c>
      <x:c r="E34" s="26" t="str">
        <x:v>CSDL thử nghiệm có dữ liệu mẫu; SQL kết nối thành công. Chưa có CL_TC_DATE.</x:v>
      </x:c>
      <x:c r="F34" s="26" t="str">
        <x:v>CL_TC_DATE; T001; đi 03/11/2026, về 01/11/2026.</x:v>
      </x:c>
      <x:c r="G34" s="26" t="str">
        <x:v>1. Nhập dữ liệu.
2. Bấm Thêm.</x:v>
      </x:c>
      <x:c r="H34" s="26" t="str">
        <x:v>Từ chối; không có CL_TC_DATE trong bảng.</x:v>
      </x:c>
      <x:c r="I34" s="36" t="str"/>
      <x:c r="J34" s="40" t="str">
        <x:v>Chưa chạy</x:v>
      </x:c>
      <x:c r="K34" s="26" t="str">
        <x:v>CK_ChuyenLe_Ngay.</x:v>
      </x:c>
      <x:c r="L34" s="36" t="str"/>
    </x:row>
    <x:row r="35" ht="59" customHeight="1">
      <x:c r="A35" s="34" t="str">
        <x:v>CL-03</x:v>
      </x:c>
      <x:c r="B35" s="30" t="str">
        <x:v>Chuyến khách lẻ</x:v>
      </x:c>
      <x:c r="C35" s="26" t="str">
        <x:v>Ngày về phải khớp số ngày tour</x:v>
      </x:c>
      <x:c r="D35" s="30" t="str">
        <x:v>Yêu cầu</x:v>
      </x:c>
      <x:c r="E35" s="26" t="str">
        <x:v>CSDL thử nghiệm có dữ liệu mẫu; SQL kết nối thành công. T001 có 3 ngày.</x:v>
      </x:c>
      <x:c r="F35" s="26" t="str">
        <x:v>CL_TC_LENGTH; T001; đi 01/11/2026; thử đặt về 10/11/2026.</x:v>
      </x:c>
      <x:c r="G35" s="26" t="str">
        <x:v>1. Chọn T001 và ngày đi.
2. Quan sát ngày về hoặc thử nhập sai.
3. Bấm Thêm.</x:v>
      </x:c>
      <x:c r="H35" s="26" t="str">
        <x:v>Ngày về phải là 03/11/2026; tự tính hoặc từ chối ngày về sai.</x:v>
      </x:c>
      <x:c r="I35" s="36" t="str"/>
      <x:c r="J35" s="40" t="str">
        <x:v>Chưa chạy</x:v>
      </x:c>
      <x:c r="K35" s="26" t="str">
        <x:v>QD02; Tài liệu Bài 6, trang 4. Mã hiện tại mới kiểm tra ngày về &gt;= ngày đi.</x:v>
      </x:c>
      <x:c r="L35" s="36" t="str"/>
    </x:row>
    <x:row r="36" ht="48" customHeight="1">
      <x:c r="A36" s="34" t="str">
        <x:v>CL-04</x:v>
      </x:c>
      <x:c r="B36" s="30" t="str">
        <x:v>Chuyến khách lẻ</x:v>
      </x:c>
      <x:c r="C36" s="26" t="str">
        <x:v>Chuyến đóng không cho đăng ký lẻ</x:v>
      </x:c>
      <x:c r="D36" s="30" t="str">
        <x:v>Hợp lệ</x:v>
      </x:c>
      <x:c r="E36" s="26" t="str">
        <x:v>CSDL thử nghiệm có dữ liệu mẫu; SQL kết nối thành công. CL001 đang Đóng đăng ký.</x:v>
      </x:c>
      <x:c r="F36" s="26" t="str">
        <x:v>Danh sách chuyến trong Đăng ký khách lẻ.</x:v>
      </x:c>
      <x:c r="G36" s="26" t="str">
        <x:v>1. Mở Đăng ký khách lẻ.
2. Xem danh sách Chuyến.</x:v>
      </x:c>
      <x:c r="H36" s="26" t="str">
        <x:v>CL001 không xuất hiện; CL002 và CL003 đang mở có thể chọn.</x:v>
      </x:c>
      <x:c r="I36" s="36" t="str"/>
      <x:c r="J36" s="40" t="str">
        <x:v>Chưa chạy</x:v>
      </x:c>
      <x:c r="K36" s="26" t="str">
        <x:v>DangKyLeService.GetChuyen lọc Mở đăng ký.</x:v>
      </x:c>
      <x:c r="L36" s="36" t="str"/>
    </x:row>
    <x:row r="37" ht="48" customHeight="1">
      <x:c r="A37" s="34" t="str">
        <x:v>CL-05</x:v>
      </x:c>
      <x:c r="B37" s="30" t="str">
        <x:v>Chuyến khách lẻ</x:v>
      </x:c>
      <x:c r="C37" s="26" t="str">
        <x:v>Mã chuyến trùng</x:v>
      </x:c>
      <x:c r="D37" s="30" t="str">
        <x:v>Không hợp lệ</x:v>
      </x:c>
      <x:c r="E37" s="26" t="str">
        <x:v>CSDL thử nghiệm có dữ liệu mẫu; SQL kết nối thành công. Có CL002.</x:v>
      </x:c>
      <x:c r="F37" s="26" t="str">
        <x:v>CL002; T001; 15/11/2026–17/11/2026.</x:v>
      </x:c>
      <x:c r="G37" s="26" t="str">
        <x:v>1. Nhập mã CL002.
2. Bấm Thêm.</x:v>
      </x:c>
      <x:c r="H37" s="26" t="str">
        <x:v>Từ chối mã trùng; không đổi CL002 gốc.</x:v>
      </x:c>
      <x:c r="I37" s="36" t="str"/>
      <x:c r="J37" s="40" t="str">
        <x:v>Chưa chạy</x:v>
      </x:c>
      <x:c r="K37" s="26" t="str">
        <x:v>PK_ChuyenLe.</x:v>
      </x:c>
      <x:c r="L37" s="36" t="str"/>
    </x:row>
    <x:row r="38" ht="48" customHeight="1">
      <x:c r="A38" s="34" t="str">
        <x:v>CL-06</x:v>
      </x:c>
      <x:c r="B38" s="30" t="str">
        <x:v>Chuyến khách lẻ</x:v>
      </x:c>
      <x:c r="C38" s="26" t="str">
        <x:v>Xóa chuyến chưa có đăng ký</x:v>
      </x:c>
      <x:c r="D38" s="30" t="str">
        <x:v>Hợp lệ</x:v>
      </x:c>
      <x:c r="E38" s="26" t="str">
        <x:v>CL-01 đã tạo CL_TC01; chưa đăng ký hoặc phân công cho chuyến.</x:v>
      </x:c>
      <x:c r="F38" s="26" t="str">
        <x:v>CL_TC01.</x:v>
      </x:c>
      <x:c r="G38" s="26" t="str">
        <x:v>1. Nhập mã CL_TC01.
2. Bấm Xóa rồi Tải.</x:v>
      </x:c>
      <x:c r="H38" s="26" t="str">
        <x:v>Chuyến được xóa; các chuyến khác giữ nguyên.</x:v>
      </x:c>
      <x:c r="I38" s="36" t="str"/>
      <x:c r="J38" s="40" t="str">
        <x:v>Chưa chạy</x:v>
      </x:c>
      <x:c r="K38" s="26" t="str">
        <x:v>ChuyenLeService.Delete; phụ thuộc CL-01.</x:v>
      </x:c>
      <x:c r="L38" s="36" t="str"/>
    </x:row>
    <x:row r="39" ht="59" customHeight="1">
      <x:c r="A39" s="31" t="str">
        <x:v>LE-01</x:v>
      </x:c>
      <x:c r="B39" s="27" t="str">
        <x:v>Đăng ký khách lẻ</x:v>
      </x:c>
      <x:c r="C39" s="23" t="str">
        <x:v>Đăng ký khách lẻ 1 người</x:v>
      </x:c>
      <x:c r="D39" s="27" t="str">
        <x:v>Biên</x:v>
      </x:c>
      <x:c r="E39" s="23" t="str">
        <x:v>CSDL thử nghiệm có dữ liệu mẫu; SQL kết nối thành công. Chưa có TC_LE01.</x:v>
      </x:c>
      <x:c r="F39" s="23" t="str">
        <x:v>Số TC_LE01; CL002; DB01; tên Nguyễn An; điện thoại 0900000001; số người 1.</x:v>
      </x:c>
      <x:c r="G39" s="23" t="str">
        <x:v>1. Chọn chuyến CL002 và điểm bán DB01.
2. Nhập dữ liệu.
3. Bấm Đăng ký và thanh toán.</x:v>
      </x:c>
      <x:c r="H39" s="23" t="str">
        <x:v>Đăng ký thành công; thành tiền 2.500.000 đồng; DaThanhToan = 1.</x:v>
      </x:c>
      <x:c r="I39" s="35" t="str"/>
      <x:c r="J39" s="39" t="str">
        <x:v>Chưa chạy</x:v>
      </x:c>
      <x:c r="K39" s="23" t="str">
        <x:v>BR03; CK_DKLe_SoNguoi; đơn giá T001 là 2.500.000.</x:v>
      </x:c>
      <x:c r="L39" s="35" t="str"/>
    </x:row>
    <x:row r="40" ht="59" customHeight="1">
      <x:c r="A40" s="32" t="str">
        <x:v>LE-02</x:v>
      </x:c>
      <x:c r="B40" s="28" t="str">
        <x:v>Đăng ký khách lẻ</x:v>
      </x:c>
      <x:c r="C40" s="24" t="str">
        <x:v>Đăng ký khách lẻ 11 người</x:v>
      </x:c>
      <x:c r="D40" s="28" t="str">
        <x:v>Biên</x:v>
      </x:c>
      <x:c r="E40" s="24" t="str">
        <x:v>CSDL thử nghiệm có dữ liệu mẫu; SQL kết nối thành công. Chưa có TC_LE11.</x:v>
      </x:c>
      <x:c r="F40" s="24" t="str">
        <x:v>Số TC_LE11; CL002; DB01; tên Nguyễn An; điện thoại 0900000001; số người 11.</x:v>
      </x:c>
      <x:c r="G40" s="24" t="str">
        <x:v>1. Chọn chuyến CL002 và điểm bán DB01.
2. Nhập dữ liệu.
3. Bấm Đăng ký và thanh toán.</x:v>
      </x:c>
      <x:c r="H40" s="24" t="str">
        <x:v>Đăng ký thành công; thành tiền 27.500.000 đồng; DaThanhToan = 1.</x:v>
      </x:c>
      <x:c r="I40" s="36" t="str"/>
      <x:c r="J40" s="40" t="str">
        <x:v>Chưa chạy</x:v>
      </x:c>
      <x:c r="K40" s="24" t="str">
        <x:v>BR03; CK_DKLe_SoNguoi; đơn giá T001 là 2.500.000.</x:v>
      </x:c>
      <x:c r="L40" s="36" t="str"/>
    </x:row>
    <x:row r="41" ht="48" customHeight="1">
      <x:c r="A41" s="32" t="str">
        <x:v>LE-03</x:v>
      </x:c>
      <x:c r="B41" s="28" t="str">
        <x:v>Đăng ký khách lẻ</x:v>
      </x:c>
      <x:c r="C41" s="24" t="str">
        <x:v>Từ chối khách lẻ 0 người</x:v>
      </x:c>
      <x:c r="D41" s="28" t="str">
        <x:v>Biên</x:v>
      </x:c>
      <x:c r="E41" s="24" t="str">
        <x:v>CSDL thử nghiệm có dữ liệu mẫu; SQL kết nối thành công. Chưa có TC_LE00.</x:v>
      </x:c>
      <x:c r="F41" s="24" t="str">
        <x:v>TC_LE00; CL002; DB01; các thông tin khác hợp lệ; số người 0.</x:v>
      </x:c>
      <x:c r="G41" s="24" t="str">
        <x:v>1. Nhập dữ liệu.
2. Bấm Đăng ký và thanh toán.</x:v>
      </x:c>
      <x:c r="H41" s="24" t="str">
        <x:v>Báo không hợp lệ; không tạo phiếu hoặc ghi nhận thanh toán.</x:v>
      </x:c>
      <x:c r="I41" s="36" t="str"/>
      <x:c r="J41" s="40" t="str">
        <x:v>Chưa chạy</x:v>
      </x:c>
      <x:c r="K41" s="24" t="str">
        <x:v>BR03; Số người phải &gt;= 1.</x:v>
      </x:c>
      <x:c r="L41" s="36" t="str"/>
    </x:row>
    <x:row r="42" ht="48" customHeight="1">
      <x:c r="A42" s="32" t="str">
        <x:v>LE-04</x:v>
      </x:c>
      <x:c r="B42" s="28" t="str">
        <x:v>Đăng ký khách lẻ</x:v>
      </x:c>
      <x:c r="C42" s="24" t="str">
        <x:v>Từ chối khách lẻ 12 người</x:v>
      </x:c>
      <x:c r="D42" s="28" t="str">
        <x:v>Biên</x:v>
      </x:c>
      <x:c r="E42" s="24" t="str">
        <x:v>CSDL thử nghiệm có dữ liệu mẫu; SQL kết nối thành công. Chưa có TC_LE12.</x:v>
      </x:c>
      <x:c r="F42" s="24" t="str">
        <x:v>TC_LE12; CL002; DB01; các thông tin khác hợp lệ; số người 12.</x:v>
      </x:c>
      <x:c r="G42" s="24" t="str">
        <x:v>1. Nhập dữ liệu.
2. Bấm Đăng ký và thanh toán.</x:v>
      </x:c>
      <x:c r="H42" s="24" t="str">
        <x:v>Báo không hợp lệ; không tạo phiếu hoặc ghi nhận thanh toán.</x:v>
      </x:c>
      <x:c r="I42" s="36" t="str"/>
      <x:c r="J42" s="40" t="str">
        <x:v>Chưa chạy</x:v>
      </x:c>
      <x:c r="K42" s="24" t="str">
        <x:v>BR03; Đúng 12 người bị từ chối theo QD01.</x:v>
      </x:c>
      <x:c r="L42" s="36" t="str"/>
    </x:row>
    <x:row r="43" ht="48" customHeight="1">
      <x:c r="A43" s="32" t="str">
        <x:v>LE-05</x:v>
      </x:c>
      <x:c r="B43" s="28" t="str">
        <x:v>Đăng ký khách lẻ</x:v>
      </x:c>
      <x:c r="C43" s="24" t="str">
        <x:v>Số người không phải số nguyên</x:v>
      </x:c>
      <x:c r="D43" s="28" t="str">
        <x:v>Không hợp lệ</x:v>
      </x:c>
      <x:c r="E43" s="24" t="str">
        <x:v>CSDL thử nghiệm có dữ liệu mẫu; SQL kết nối thành công.</x:v>
      </x:c>
      <x:c r="F43" s="24" t="str">
        <x:v>TC_LE_TEXT; CL002; DB01; số người abc.</x:v>
      </x:c>
      <x:c r="G43" s="24" t="str">
        <x:v>1. Nhập abc vào Số người.
2. Bấm Đăng ký và thanh toán.</x:v>
      </x:c>
      <x:c r="H43" s="24" t="str">
        <x:v>Báo lỗi dữ liệu; không lưu; cửa sổ tiếp tục hoạt động.</x:v>
      </x:c>
      <x:c r="I43" s="36" t="str"/>
      <x:c r="J43" s="40" t="str">
        <x:v>Chưa chạy</x:v>
      </x:c>
      <x:c r="K43" s="24" t="str">
        <x:v>FrmDangKyLe.Register dùng int.Parse và bắt lỗi.</x:v>
      </x:c>
      <x:c r="L43" s="36" t="str"/>
    </x:row>
    <x:row r="44" ht="48" customHeight="1">
      <x:c r="A44" s="32" t="str">
        <x:v>LE-06</x:v>
      </x:c>
      <x:c r="B44" s="28" t="str">
        <x:v>Đăng ký khách lẻ</x:v>
      </x:c>
      <x:c r="C44" s="24" t="str">
        <x:v>Tính đúng tiền cho 3 khách</x:v>
      </x:c>
      <x:c r="D44" s="28" t="str">
        <x:v>Hợp lệ</x:v>
      </x:c>
      <x:c r="E44" s="24" t="str">
        <x:v>CSDL thử nghiệm có dữ liệu mẫu; SQL kết nối thành công. Chưa có TC_LE03.</x:v>
      </x:c>
      <x:c r="F44" s="24" t="str">
        <x:v>TC_LE03; CL002; DB01; số người 3; đơn giá 2500000.</x:v>
      </x:c>
      <x:c r="G44" s="24" t="str">
        <x:v>1. Đăng ký và thanh toán.
2. Kiểm tra thông báo và dòng mới.</x:v>
      </x:c>
      <x:c r="H44" s="24" t="str">
        <x:v>Thành tiền 7.500.000 đồng; số người 3; đã thanh toán.</x:v>
      </x:c>
      <x:c r="I44" s="36" t="str"/>
      <x:c r="J44" s="40" t="str">
        <x:v>Chưa chạy</x:v>
      </x:c>
      <x:c r="K44" s="24" t="str">
        <x:v>BR03; thành tiền = đơn giá x số người.</x:v>
      </x:c>
      <x:c r="L44" s="36" t="str"/>
    </x:row>
    <x:row r="45" ht="48" customHeight="1">
      <x:c r="A45" s="32" t="str">
        <x:v>LE-07</x:v>
      </x:c>
      <x:c r="B45" s="28" t="str">
        <x:v>Đăng ký khách lẻ</x:v>
      </x:c>
      <x:c r="C45" s="24" t="str">
        <x:v>Số phiếu đăng ký lẻ trùng</x:v>
      </x:c>
      <x:c r="D45" s="28" t="str">
        <x:v>Không hợp lệ</x:v>
      </x:c>
      <x:c r="E45" s="24" t="str">
        <x:v>CSDL thử nghiệm có dữ liệu mẫu; SQL kết nối thành công. Có DKL002.</x:v>
      </x:c>
      <x:c r="F45" s="24" t="str">
        <x:v>Số DKL002; CL002; DB01; số người 1.</x:v>
      </x:c>
      <x:c r="G45" s="24" t="str">
        <x:v>1. Nhập số phiếu đã có.
2. Bấm đăng ký.</x:v>
      </x:c>
      <x:c r="H45" s="24" t="str">
        <x:v>Từ chối trùng số phiếu; DKL002 gốc vẫn có 3 người và 7.500.000 đồng.</x:v>
      </x:c>
      <x:c r="I45" s="36" t="str"/>
      <x:c r="J45" s="40" t="str">
        <x:v>Chưa chạy</x:v>
      </x:c>
      <x:c r="K45" s="24" t="str">
        <x:v>PK_DangKyLe.</x:v>
      </x:c>
      <x:c r="L45" s="36" t="str"/>
    </x:row>
    <x:row r="46" ht="48" customHeight="1">
      <x:c r="A46" s="32" t="str">
        <x:v>LE-08</x:v>
      </x:c>
      <x:c r="B46" s="28" t="str">
        <x:v>Đăng ký khách lẻ</x:v>
      </x:c>
      <x:c r="C46" s="24" t="str">
        <x:v>Thiếu tên người đăng ký</x:v>
      </x:c>
      <x:c r="D46" s="28" t="str">
        <x:v>Không hợp lệ</x:v>
      </x:c>
      <x:c r="E46" s="24" t="str">
        <x:v>CSDL thử nghiệm có dữ liệu mẫu; SQL kết nối thành công. Chưa có TC_LE_NAME.</x:v>
      </x:c>
      <x:c r="F46" s="24" t="str">
        <x:v>TC_LE_NAME; CL002; DB01; tên trống; điện thoại 0900000001; số người 1.</x:v>
      </x:c>
      <x:c r="G46" s="24" t="str">
        <x:v>1. Bỏ trống tên.
2. Bấm Đăng ký và thanh toán.</x:v>
      </x:c>
      <x:c r="H46" s="24" t="str">
        <x:v>Từ chối và chỉ rõ cần nhập tên; không lưu phiếu.</x:v>
      </x:c>
      <x:c r="I46" s="36" t="str"/>
      <x:c r="J46" s="40" t="str">
        <x:v>Chưa chạy</x:v>
      </x:c>
      <x:c r="K46" s="24" t="str">
        <x:v>Yêu cầu trường bắt buộc, PDF trang 4. NOT NULL không tự chặn chuỗi rỗng; cần thử.</x:v>
      </x:c>
      <x:c r="L46" s="36" t="str"/>
    </x:row>
    <x:row r="47" ht="59" customHeight="1">
      <x:c r="A47" s="33" t="str">
        <x:v>DOAN-01</x:v>
      </x:c>
      <x:c r="B47" s="29" t="str">
        <x:v>Đăng ký đoàn</x:v>
      </x:c>
      <x:c r="C47" s="25" t="str">
        <x:v>Đăng ký đoàn 13 người</x:v>
      </x:c>
      <x:c r="D47" s="29" t="str">
        <x:v>Biên</x:v>
      </x:c>
      <x:c r="E47" s="25" t="str">
        <x:v>CSDL thử nghiệm có dữ liệu mẫu; SQL kết nối thành công. Chưa có TC_D13.</x:v>
      </x:c>
      <x:c r="F47" s="25" t="str">
        <x:v>TC_D13; DK01; T001; 01–03/12/2026; 13 người; điểm đón Quận 1; cọc 10000000; tổng 32500000; không bảo hiểm.</x:v>
      </x:c>
      <x:c r="G47" s="25" t="str">
        <x:v>1. Nhập dữ liệu.
2. Bấm Đăng ký đoàn.
3. Kiểm tra bảng.</x:v>
      </x:c>
      <x:c r="H47" s="25" t="str">
        <x:v>Lưu phiếu, 13 người, cọc 10.000.000, tổng 32.500.000; trạng thái Đã đăng ký.</x:v>
      </x:c>
      <x:c r="I47" s="35" t="str"/>
      <x:c r="J47" s="39" t="str">
        <x:v>Chưa chạy</x:v>
      </x:c>
      <x:c r="K47" s="25" t="str">
        <x:v>BR04; QD03; CK_DKDoan_*.</x:v>
      </x:c>
      <x:c r="L47" s="35" t="str"/>
    </x:row>
    <x:row r="48" ht="59" customHeight="1">
      <x:c r="A48" s="34" t="str">
        <x:v>DOAN-02</x:v>
      </x:c>
      <x:c r="B48" s="30" t="str">
        <x:v>Đăng ký đoàn</x:v>
      </x:c>
      <x:c r="C48" s="26" t="str">
        <x:v>Từ chối đăng ký đoàn 12 người</x:v>
      </x:c>
      <x:c r="D48" s="30" t="str">
        <x:v>Biên</x:v>
      </x:c>
      <x:c r="E48" s="26" t="str">
        <x:v>CSDL thử nghiệm có dữ liệu mẫu; SQL kết nối thành công. DK01 đã tồn tại; chưa có TC_D12.</x:v>
      </x:c>
      <x:c r="F48" s="26" t="str">
        <x:v>TC_D12; DK01; T001; 01–03/12/2026; 12 người; cọc 1000000; tổng 30000000.</x:v>
      </x:c>
      <x:c r="G48" s="26" t="str">
        <x:v>1. Nhập dữ liệu.
2. Bấm Đăng ký đoàn.</x:v>
      </x:c>
      <x:c r="H48" s="26" t="str">
        <x:v>Không tạo phiếu vì khách đoàn phải trên 12 người.</x:v>
      </x:c>
      <x:c r="I48" s="36" t="str"/>
      <x:c r="J48" s="40" t="str">
        <x:v>Chưa chạy</x:v>
      </x:c>
      <x:c r="K48" s="26" t="str">
        <x:v>QD01; đúng 12 người không thuộc cả hai loại.</x:v>
      </x:c>
      <x:c r="L48" s="36" t="str"/>
    </x:row>
    <x:row r="49" ht="59" customHeight="1">
      <x:c r="A49" s="34" t="str">
        <x:v>DOAN-03</x:v>
      </x:c>
      <x:c r="B49" s="30" t="str">
        <x:v>Đăng ký đoàn</x:v>
      </x:c>
      <x:c r="C49" s="26" t="str">
        <x:v>Từ chối đăng ký đoàn 11 người</x:v>
      </x:c>
      <x:c r="D49" s="30" t="str">
        <x:v>Biên</x:v>
      </x:c>
      <x:c r="E49" s="26" t="str">
        <x:v>CSDL thử nghiệm có dữ liệu mẫu; SQL kết nối thành công. DK01 đã tồn tại; chưa có TC_D11.</x:v>
      </x:c>
      <x:c r="F49" s="26" t="str">
        <x:v>TC_D11; DK01; T001; 01–03/12/2026; 11 người; cọc 1000000; tổng 27500000.</x:v>
      </x:c>
      <x:c r="G49" s="26" t="str">
        <x:v>1. Nhập dữ liệu.
2. Bấm Đăng ký đoàn.</x:v>
      </x:c>
      <x:c r="H49" s="26" t="str">
        <x:v>Không tạo phiếu vì khách đoàn phải trên 12 người.</x:v>
      </x:c>
      <x:c r="I49" s="36" t="str"/>
      <x:c r="J49" s="40" t="str">
        <x:v>Chưa chạy</x:v>
      </x:c>
      <x:c r="K49" s="26" t="str">
        <x:v>BR04; CK_DKDoan_SoNguoi.</x:v>
      </x:c>
      <x:c r="L49" s="36" t="str"/>
    </x:row>
    <x:row r="50" ht="59" customHeight="1">
      <x:c r="A50" s="34" t="str">
        <x:v>DOAN-04</x:v>
      </x:c>
      <x:c r="B50" s="30" t="str">
        <x:v>Đăng ký đoàn</x:v>
      </x:c>
      <x:c r="C50" s="26" t="str">
        <x:v>Tiền cọc bằng 0</x:v>
      </x:c>
      <x:c r="D50" s="30" t="str">
        <x:v>Biên</x:v>
      </x:c>
      <x:c r="E50" s="26" t="str">
        <x:v>CSDL thử nghiệm có dữ liệu mẫu; SQL kết nối thành công. DK01 tồn tại; chưa có TC_D0.</x:v>
      </x:c>
      <x:c r="F50" s="26" t="str">
        <x:v>TC_D0; T001; DK01; 13 người; 01–03/12/2026; cọc 0; tổng 32500000.</x:v>
      </x:c>
      <x:c r="G50" s="26" t="str">
        <x:v>1. Nhập dữ liệu.
2. Bấm Đăng ký đoàn.</x:v>
      </x:c>
      <x:c r="H50" s="26" t="str">
        <x:v>Từ chối phiếu không có tiền cọc; không lưu.</x:v>
      </x:c>
      <x:c r="I50" s="36" t="str"/>
      <x:c r="J50" s="40" t="str">
        <x:v>Chưa chạy</x:v>
      </x:c>
      <x:c r="K50" s="26" t="str">
        <x:v>BR04; CK_DKDoan_Tien yêu cầu cọc &gt; 0.</x:v>
      </x:c>
      <x:c r="L50" s="36" t="str"/>
    </x:row>
    <x:row r="51" ht="48" customHeight="1">
      <x:c r="A51" s="34" t="str">
        <x:v>DOAN-05</x:v>
      </x:c>
      <x:c r="B51" s="30" t="str">
        <x:v>Đăng ký đoàn</x:v>
      </x:c>
      <x:c r="C51" s="26" t="str">
        <x:v>Tiền cọc vượt tổng tiền</x:v>
      </x:c>
      <x:c r="D51" s="30" t="str">
        <x:v>Không hợp lệ</x:v>
      </x:c>
      <x:c r="E51" s="26" t="str">
        <x:v>CSDL thử nghiệm có dữ liệu mẫu; SQL kết nối thành công. Chưa có TC_DCOC.</x:v>
      </x:c>
      <x:c r="F51" s="26" t="str">
        <x:v>TC_DCOC; DK01; T001; 13 người; 01–03/12/2026; cọc 40000000; tổng 32500000.</x:v>
      </x:c>
      <x:c r="G51" s="26" t="str">
        <x:v>1. Nhập dữ liệu.
2. Bấm Đăng ký đoàn.</x:v>
      </x:c>
      <x:c r="H51" s="26" t="str">
        <x:v>Từ chối vì cọc vượt tổng tiền; không lưu phiếu.</x:v>
      </x:c>
      <x:c r="I51" s="36" t="str"/>
      <x:c r="J51" s="40" t="str">
        <x:v>Chưa chạy</x:v>
      </x:c>
      <x:c r="K51" s="26" t="str">
        <x:v>CK_DKDoan_Tien: tổng &gt;= cọc.</x:v>
      </x:c>
      <x:c r="L51" s="36" t="str"/>
    </x:row>
    <x:row r="52" ht="59" customHeight="1">
      <x:c r="A52" s="34" t="str">
        <x:v>DOAN-06</x:v>
      </x:c>
      <x:c r="B52" s="30" t="str">
        <x:v>Đăng ký đoàn</x:v>
      </x:c>
      <x:c r="C52" s="26" t="str">
        <x:v>Tổng tiền phải theo số người và đơn giá</x:v>
      </x:c>
      <x:c r="D52" s="30" t="str">
        <x:v>Yêu cầu</x:v>
      </x:c>
      <x:c r="E52" s="26" t="str">
        <x:v>CSDL thử nghiệm có dữ liệu mẫu; SQL kết nối thành công. T001 có giá 2500000.</x:v>
      </x:c>
      <x:c r="F52" s="26" t="str">
        <x:v>TC_DTOTAL; DK01; T001; 13 người; 01–03/12/2026; cọc 1000000; thử tổng 10000000.</x:v>
      </x:c>
      <x:c r="G52" s="26" t="str">
        <x:v>1. Chọn tour và nhập số người.
2. Kiểm tra tổng hoặc nhập tổng sai.
3. Đăng ký.</x:v>
      </x:c>
      <x:c r="H52" s="26" t="str">
        <x:v>Tổng phải là 32.500.000; tự tính hoặc từ chối tổng nhập sai.</x:v>
      </x:c>
      <x:c r="I52" s="36" t="str"/>
      <x:c r="J52" s="40" t="str">
        <x:v>Chưa chạy</x:v>
      </x:c>
      <x:c r="K52" s="26" t="str">
        <x:v>QD03; Tài liệu Bài 6, trang 4. FrmDangKyDoan hiện nhận tổng do người dùng nhập.</x:v>
      </x:c>
      <x:c r="L52" s="36" t="str"/>
    </x:row>
    <x:row r="53" ht="59" customHeight="1">
      <x:c r="A53" s="34" t="str">
        <x:v>DOAN-07</x:v>
      </x:c>
      <x:c r="B53" s="30" t="str">
        <x:v>Đăng ký đoàn</x:v>
      </x:c>
      <x:c r="C53" s="26" t="str">
        <x:v>Ngày kết thúc đoàn theo số ngày tour</x:v>
      </x:c>
      <x:c r="D53" s="30" t="str">
        <x:v>Yêu cầu</x:v>
      </x:c>
      <x:c r="E53" s="26" t="str">
        <x:v>CSDL thử nghiệm có dữ liệu mẫu; SQL kết nối thành công. T001 có 3 ngày.</x:v>
      </x:c>
      <x:c r="F53" s="26" t="str">
        <x:v>TC_DDATE; DK01; T001; 13 người; đi 01/12/2026; thử kết thúc 05/12/2026; cọc 10000000; tổng 32500000.</x:v>
      </x:c>
      <x:c r="G53" s="26" t="str">
        <x:v>1. Chọn tour và ngày đi.
2. Kiểm tra ngày kết thúc.
3. Thử đăng ký với ngày sai.</x:v>
      </x:c>
      <x:c r="H53" s="26" t="str">
        <x:v>Ngày kết thúc phải là 03/12/2026; tự tính hoặc từ chối ngày sai.</x:v>
      </x:c>
      <x:c r="I53" s="36" t="str"/>
      <x:c r="J53" s="40" t="str">
        <x:v>Chưa chạy</x:v>
      </x:c>
      <x:c r="K53" s="26" t="str">
        <x:v>QD02; Tài liệu Bài 6, trang 4. Mã mới kiểm tra ngày kết thúc &gt;= ngày đi.</x:v>
      </x:c>
      <x:c r="L53" s="36" t="str"/>
    </x:row>
    <x:row r="54" ht="59" customHeight="1">
      <x:c r="A54" s="34" t="str">
        <x:v>DOAN-08</x:v>
      </x:c>
      <x:c r="B54" s="30" t="str">
        <x:v>Đăng ký đoàn</x:v>
      </x:c>
      <x:c r="C54" s="26" t="str">
        <x:v>Bảo hiểm nhưng thiếu danh sách người đi</x:v>
      </x:c>
      <x:c r="D54" s="30" t="str">
        <x:v>Không hợp lệ</x:v>
      </x:c>
      <x:c r="E54" s="26" t="str">
        <x:v>CSDL thử nghiệm có dữ liệu mẫu; SQL kết nối thành công. Chưa có TC_DBH.</x:v>
      </x:c>
      <x:c r="F54" s="26" t="str">
        <x:v>TC_DBH; DK01; T001; 13 người; 01–03/12/2026; cọc 10000000; tổng 32500000; chọn Mua bảo hiểm; danh sách 0 người.</x:v>
      </x:c>
      <x:c r="G54" s="26" t="str">
        <x:v>1. Chọn Mua bảo hiểm.
2. Không cung cấp danh sách người đi.
3. Bấm đăng ký.</x:v>
      </x:c>
      <x:c r="H54" s="26" t="str">
        <x:v>Từ chối vì chưa có danh sách đủ 13 người; không lưu một phiếu bảo hiểm thiếu danh sách.</x:v>
      </x:c>
      <x:c r="I54" s="36" t="str"/>
      <x:c r="J54" s="40" t="str">
        <x:v>Chưa chạy</x:v>
      </x:c>
      <x:c r="K54" s="26" t="str">
        <x:v>BR05; Tài liệu Bài 6, trang 4. FrmDangKyDoan chưa có nhập danh sách và kiểm tra số người.</x:v>
      </x:c>
      <x:c r="L54" s="36" t="str"/>
    </x:row>
    <x:row r="55" ht="59" customHeight="1">
      <x:c r="A55" s="34" t="str">
        <x:v>DOAN-09</x:v>
      </x:c>
      <x:c r="B55" s="30" t="str">
        <x:v>Đăng ký đoàn</x:v>
      </x:c>
      <x:c r="C55" s="26" t="str">
        <x:v>Rollback khi đăng ký đoàn mới thất bại</x:v>
      </x:c>
      <x:c r="D55" s="30" t="str">
        <x:v>Yêu cầu</x:v>
      </x:c>
      <x:c r="E55" s="26" t="str">
        <x:v>CSDL thử nghiệm có dữ liệu mẫu; SQL kết nối thành công. Không có mã đoàn TC_DNEW và phiếu TC_DTX.</x:v>
      </x:c>
      <x:c r="F55" s="26" t="str">
        <x:v>TC_DTX; mã đoàn TC_DNEW; T001; 12 người; cọc 1000000; tổng 30000000; 01–03/12/2026.</x:v>
      </x:c>
      <x:c r="G55" s="26" t="str">
        <x:v>1. Nhập dữ liệu và bấm đăng ký.
2. Sau lỗi, tra DoanKhach và DangKyDoan trong CSDL thử nghiệm.</x:v>
      </x:c>
      <x:c r="H55" s="26" t="str">
        <x:v>Không tồn tại cả TC_DNEW lẫn TC_DTX; thao tác thất bại không để lại đoàn thừa.</x:v>
      </x:c>
      <x:c r="I55" s="36" t="str"/>
      <x:c r="J55" s="40" t="str">
        <x:v>Chưa chạy</x:v>
      </x:c>
      <x:c r="K55" s="26" t="str">
        <x:v>Toàn vẹn, PDF trang 4. FrmDangKyDoan hiện INSERT đoàn rồi INSERT phiếu, chưa có transaction.</x:v>
      </x:c>
      <x:c r="L55" s="36" t="str"/>
    </x:row>
    <x:row r="56" ht="59" customHeight="1">
      <x:c r="A56" s="34" t="str">
        <x:v>DOAN-10</x:v>
      </x:c>
      <x:c r="B56" s="30" t="str">
        <x:v>Đăng ký đoàn</x:v>
      </x:c>
      <x:c r="C56" s="26" t="str">
        <x:v>Hủy đoàn, giữ cọc và gỡ phân công</x:v>
      </x:c>
      <x:c r="D56" s="30" t="str">
        <x:v>Yêu cầu</x:v>
      </x:c>
      <x:c r="E56" s="26" t="str">
        <x:v>CSDL thử nghiệm có dữ liệu mẫu; SQL kết nối thành công. DD002 đã cọc 12000000; chuẩn bị một phân công cho DD002.</x:v>
      </x:c>
      <x:c r="F56" s="26" t="str">
        <x:v>DD002; đoàn không đi.</x:v>
      </x:c>
      <x:c r="G56" s="26" t="str">
        <x:v>1. Thực hiện Hủy đăng ký đoàn.
2. Kiểm tra trạng thái, cọc và phân công.</x:v>
      </x:c>
      <x:c r="H56" s="26" t="str">
        <x:v>DD002 chuyển Hủy - mất cọc; không hoàn cọc; gỡ các phân công của đoàn trong cùng transaction.</x:v>
      </x:c>
      <x:c r="I56" s="36" t="str"/>
      <x:c r="J56" s="40" t="str">
        <x:v>Chưa chạy</x:v>
      </x:c>
      <x:c r="K56" s="26" t="str">
        <x:v>BR04; yêu cầu toàn vẹn, PDF trang 4. Form hiện chưa có thao tác hủy.</x:v>
      </x:c>
      <x:c r="L56" s="36" t="str"/>
    </x:row>
    <x:row r="57" ht="59" customHeight="1">
      <x:c r="A57" s="31" t="str">
        <x:v>PC-01</x:v>
      </x:c>
      <x:c r="B57" s="27" t="str">
        <x:v>Phân công HDV</x:v>
      </x:c>
      <x:c r="C57" s="23" t="str">
        <x:v>Phân công khách lẻ không trùng lịch</x:v>
      </x:c>
      <x:c r="D57" s="27" t="str">
        <x:v>Hợp lệ</x:v>
      </x:c>
      <x:c r="E57" s="23" t="str">
        <x:v>CSDL thử nghiệm có dữ liệu mẫu; SQL kết nối thành công. CL002 chưa có phân công; chưa có PC_TC01.</x:v>
      </x:c>
      <x:c r="F57" s="23" t="str">
        <x:v>PC_TC01; HDV01; LE; CL002; 15–17/11/2026; thù lao 1500000.</x:v>
      </x:c>
      <x:c r="G57" s="23" t="str">
        <x:v>1. Chọn HDV và loại LE.
2. Nhập dữ liệu rồi bấm Phân công.</x:v>
      </x:c>
      <x:c r="H57" s="23" t="str">
        <x:v>Lưu đúng một phân công cho CL002, đúng HDV và thù lao.</x:v>
      </x:c>
      <x:c r="I57" s="35" t="str"/>
      <x:c r="J57" s="39" t="str">
        <x:v>Chưa chạy</x:v>
      </x:c>
      <x:c r="K57" s="23" t="str">
        <x:v>BR06; PhanCongHDV; HDV01 chỉ có lịch mẫu tháng 9.</x:v>
      </x:c>
      <x:c r="L57" s="35" t="str"/>
    </x:row>
    <x:row r="58" ht="48" customHeight="1">
      <x:c r="A58" s="32" t="str">
        <x:v>PC-02</x:v>
      </x:c>
      <x:c r="B58" s="28" t="str">
        <x:v>Phân công HDV</x:v>
      </x:c>
      <x:c r="C58" s="24" t="str">
        <x:v>Lịch HDV chồng chéo</x:v>
      </x:c>
      <x:c r="D58" s="28" t="str">
        <x:v>Không hợp lệ</x:v>
      </x:c>
      <x:c r="E58" s="24" t="str">
        <x:v>PC-01 đã tạo lịch HDV01 ngày 15–17/11; có đoàn TC_DOVER ngày 16–18/11.</x:v>
      </x:c>
      <x:c r="F58" s="24" t="str">
        <x:v>PC_TC_OVER; HDV01; DOAN; TC_DOVER; 16–18/11/2026; thù lao 1500000.</x:v>
      </x:c>
      <x:c r="G58" s="24" t="str">
        <x:v>1. Nhập dữ liệu.
2. Bấm Phân công.</x:v>
      </x:c>
      <x:c r="H58" s="24" t="str">
        <x:v>Báo Hướng dẫn viên bị trùng lịch; không lưu PC_TC_OVER.</x:v>
      </x:c>
      <x:c r="I58" s="36" t="str"/>
      <x:c r="J58" s="40" t="str">
        <x:v>Chưa chạy</x:v>
      </x:c>
      <x:c r="K58" s="24" t="str">
        <x:v>BR06; điều kiện giao lịch: bắt đầu mới &lt;= kết thúc cũ và kết thúc mới &gt;= bắt đầu cũ.</x:v>
      </x:c>
      <x:c r="L58" s="36" t="str"/>
    </x:row>
    <x:row r="59" ht="48" customHeight="1">
      <x:c r="A59" s="32" t="str">
        <x:v>PC-03</x:v>
      </x:c>
      <x:c r="B59" s="28" t="str">
        <x:v>Phân công HDV</x:v>
      </x:c>
      <x:c r="C59" s="24" t="str">
        <x:v>Hai lịch có chung ngày biên</x:v>
      </x:c>
      <x:c r="D59" s="28" t="str">
        <x:v>Biên</x:v>
      </x:c>
      <x:c r="E59" s="24" t="str">
        <x:v>PC-01 đã tạo lịch 15–17/11; có đoàn TC_DMEET ngày 17–19/11.</x:v>
      </x:c>
      <x:c r="F59" s="24" t="str">
        <x:v>PC_TC_MEET; HDV01; DOAN; TC_DMEET; 17–19/11/2026.</x:v>
      </x:c>
      <x:c r="G59" s="24" t="str">
        <x:v>1. Nhập dữ liệu hợp lệ và thù lao 1500000.
2. Bấm Phân công.</x:v>
      </x:c>
      <x:c r="H59" s="24" t="str">
        <x:v>Từ chối vì cùng sử dụng HDV01 vào 17/11.</x:v>
      </x:c>
      <x:c r="I59" s="36" t="str"/>
      <x:c r="J59" s="40" t="str">
        <x:v>Chưa chạy</x:v>
      </x:c>
      <x:c r="K59" s="24" t="str">
        <x:v>BR06; truy vấn giao lịch dùng &lt;= và &gt;=.</x:v>
      </x:c>
      <x:c r="L59" s="36" t="str"/>
    </x:row>
    <x:row r="60" ht="59" customHeight="1">
      <x:c r="A60" s="32" t="str">
        <x:v>PC-04</x:v>
      </x:c>
      <x:c r="B60" s="28" t="str">
        <x:v>Phân công HDV</x:v>
      </x:c>
      <x:c r="C60" s="24" t="str">
        <x:v>Một chuyến lẻ chỉ có một HDV</x:v>
      </x:c>
      <x:c r="D60" s="28" t="str">
        <x:v>Không hợp lệ</x:v>
      </x:c>
      <x:c r="E60" s="24" t="str">
        <x:v>CSDL thử nghiệm có dữ liệu mẫu; SQL kết nối thành công. CL001 đã có PC001 cho HDV01.</x:v>
      </x:c>
      <x:c r="F60" s="24" t="str">
        <x:v>PC_TC_SECOND; HDV02; LE; CL001; 05–07/09/2026; thù lao 1500000.</x:v>
      </x:c>
      <x:c r="G60" s="24" t="str">
        <x:v>1. Nhập phân công cho HDV02.
2. Bấm Phân công.</x:v>
      </x:c>
      <x:c r="H60" s="24" t="str">
        <x:v>Từ chối thêm HDV thứ hai cho CL001; PC001 còn nguyên.</x:v>
      </x:c>
      <x:c r="I60" s="36" t="str"/>
      <x:c r="J60" s="40" t="str">
        <x:v>Chưa chạy</x:v>
      </x:c>
      <x:c r="K60" s="24" t="str">
        <x:v>BR06; unique index UX_PC_ChuyenLe.</x:v>
      </x:c>
      <x:c r="L60" s="36" t="str"/>
    </x:row>
    <x:row r="61" ht="59" customHeight="1">
      <x:c r="A61" s="32" t="str">
        <x:v>PC-05</x:v>
      </x:c>
      <x:c r="B61" s="28" t="str">
        <x:v>Phân công HDV</x:v>
      </x:c>
      <x:c r="C61" s="24" t="str">
        <x:v>Đoàn có thể có nhiều HDV</x:v>
      </x:c>
      <x:c r="D61" s="28" t="str">
        <x:v>Hợp lệ</x:v>
      </x:c>
      <x:c r="E61" s="24" t="str">
        <x:v>CSDL thử nghiệm có dữ liệu mẫu; SQL kết nối thành công. DD001 đã có HDV02 và HDV03; HDV01 rảnh 10–12/09.</x:v>
      </x:c>
      <x:c r="F61" s="24" t="str">
        <x:v>PC_TC_MULTI; HDV01; DOAN; DD001; 10–12/09/2026; thù lao 1500000.</x:v>
      </x:c>
      <x:c r="G61" s="24" t="str">
        <x:v>1. Nhập dữ liệu.
2. Bấm Phân công.
3. Lọc các dòng DD001.</x:v>
      </x:c>
      <x:c r="H61" s="24" t="str">
        <x:v>Có thêm HDV01 cho DD001; hai phân công cũ vẫn còn; không áp giới hạn một HDV cho đoàn.</x:v>
      </x:c>
      <x:c r="I61" s="36" t="str"/>
      <x:c r="J61" s="40" t="str">
        <x:v>Chưa chạy</x:v>
      </x:c>
      <x:c r="K61" s="24" t="str">
        <x:v>BR06; khôi phục dữ liệu mẫu trước các ca lương.</x:v>
      </x:c>
      <x:c r="L61" s="36" t="str"/>
    </x:row>
    <x:row r="62" ht="48" customHeight="1">
      <x:c r="A62" s="32" t="str">
        <x:v>PC-06</x:v>
      </x:c>
      <x:c r="B62" s="28" t="str">
        <x:v>Phân công HDV</x:v>
      </x:c>
      <x:c r="C62" s="24" t="str">
        <x:v>Ngày kết thúc trước ngày bắt đầu</x:v>
      </x:c>
      <x:c r="D62" s="28" t="str">
        <x:v>Không hợp lệ</x:v>
      </x:c>
      <x:c r="E62" s="24" t="str">
        <x:v>CSDL thử nghiệm có dữ liệu mẫu; SQL kết nối thành công. Chưa có PC_TC_DATE.</x:v>
      </x:c>
      <x:c r="F62" s="24" t="str">
        <x:v>PC_TC_DATE; HDV01; DOAN; DD002; bắt đầu 13/12, kết thúc 10/12/2026; thù lao 1500000.</x:v>
      </x:c>
      <x:c r="G62" s="24" t="str">
        <x:v>1. Nhập dữ liệu.
2. Bấm Phân công.</x:v>
      </x:c>
      <x:c r="H62" s="24" t="str">
        <x:v>Từ chối; không lưu lịch ngày kết thúc trước ngày bắt đầu.</x:v>
      </x:c>
      <x:c r="I62" s="36" t="str"/>
      <x:c r="J62" s="40" t="str">
        <x:v>Chưa chạy</x:v>
      </x:c>
      <x:c r="K62" s="24" t="str">
        <x:v>CK_PC_Ngay.</x:v>
      </x:c>
      <x:c r="L62" s="36" t="str"/>
    </x:row>
    <x:row r="63" ht="48" customHeight="1">
      <x:c r="A63" s="32" t="str">
        <x:v>PC-07</x:v>
      </x:c>
      <x:c r="B63" s="28" t="str">
        <x:v>Phân công HDV</x:v>
      </x:c>
      <x:c r="C63" s="24" t="str">
        <x:v>Thù lao âm</x:v>
      </x:c>
      <x:c r="D63" s="28" t="str">
        <x:v>Không hợp lệ</x:v>
      </x:c>
      <x:c r="E63" s="24" t="str">
        <x:v>CSDL thử nghiệm có dữ liệu mẫu; SQL kết nối thành công. Chưa có PC_TC_PAY.</x:v>
      </x:c>
      <x:c r="F63" s="24" t="str">
        <x:v>PC_TC_PAY; HDV01; DOAN; DD002; 10–13/12/2026; thù lao -1.</x:v>
      </x:c>
      <x:c r="G63" s="24" t="str">
        <x:v>1. Nhập dữ liệu.
2. Bấm Phân công.</x:v>
      </x:c>
      <x:c r="H63" s="24" t="str">
        <x:v>Từ chối thù lao âm; không thêm phân công.</x:v>
      </x:c>
      <x:c r="I63" s="36" t="str"/>
      <x:c r="J63" s="40" t="str">
        <x:v>Chưa chạy</x:v>
      </x:c>
      <x:c r="K63" s="24" t="str">
        <x:v>CK_PC_ThuLao.</x:v>
      </x:c>
      <x:c r="L63" s="36" t="str"/>
    </x:row>
    <x:row r="64" ht="48" customHeight="1">
      <x:c r="A64" s="32" t="str">
        <x:v>PC-08</x:v>
      </x:c>
      <x:c r="B64" s="28" t="str">
        <x:v>Phân công HDV</x:v>
      </x:c>
      <x:c r="C64" s="24" t="str">
        <x:v>Mã đối tượng không tồn tại</x:v>
      </x:c>
      <x:c r="D64" s="28" t="str">
        <x:v>Không hợp lệ</x:v>
      </x:c>
      <x:c r="E64" s="24" t="str">
        <x:v>CSDL thử nghiệm có dữ liệu mẫu; SQL kết nối thành công. Không có chuyến CL_NONE.</x:v>
      </x:c>
      <x:c r="F64" s="24" t="str">
        <x:v>PC_TC_NONE; HDV01; LE; CL_NONE; 01–03/11/2026; thù lao 1500000.</x:v>
      </x:c>
      <x:c r="G64" s="24" t="str">
        <x:v>1. Nhập dữ liệu.
2. Bấm Phân công.</x:v>
      </x:c>
      <x:c r="H64" s="24" t="str">
        <x:v>Báo chuyến không tồn tại; không lưu phân công mồ côi.</x:v>
      </x:c>
      <x:c r="I64" s="36" t="str"/>
      <x:c r="J64" s="40" t="str">
        <x:v>Chưa chạy</x:v>
      </x:c>
      <x:c r="K64" s="24" t="str">
        <x:v>FK_PC_Chuyen; HDV01 không có lịch giao khoảng này.</x:v>
      </x:c>
      <x:c r="L64" s="36" t="str"/>
    </x:row>
    <x:row r="65" ht="59" customHeight="1">
      <x:c r="A65" s="33" t="str">
        <x:v>KS-01</x:v>
      </x:c>
      <x:c r="B65" s="29" t="str">
        <x:v>Kết thúc / khảo sát</x:v>
      </x:c>
      <x:c r="C65" s="25" t="str">
        <x:v>Điểm khảo sát 1 (biên dưới)</x:v>
      </x:c>
      <x:c r="D65" s="29" t="str">
        <x:v>Biên</x:v>
      </x:c>
      <x:c r="E65" s="25" t="str">
        <x:v>Trên CSDL thử nghiệm, DKL001 có CL001 đã kết thúc 07/09/2026; chưa có khảo sát DKL001.</x:v>
      </x:c>
      <x:c r="F65" s="25" t="str">
        <x:v>Loại LE; mã DKL001; điểm 1; góp ý Kiểm thử điểm 1.</x:v>
      </x:c>
      <x:c r="G65" s="25" t="str">
        <x:v>1. Chuẩn bị trạng thái chưa có khảo sát.
2. Nhập dữ liệu.
3. Bấm Lưu khảo sát rồi Tải.</x:v>
      </x:c>
      <x:c r="H65" s="25" t="str">
        <x:v>Lưu khảo sát với đúng mã đăng ký và điểm 1.</x:v>
      </x:c>
      <x:c r="I65" s="35" t="str"/>
      <x:c r="J65" s="39" t="str">
        <x:v>Chưa chạy</x:v>
      </x:c>
      <x:c r="K65" s="25" t="str">
        <x:v>BR08; CK_KS_Diem; chỉ reset khảo sát của DKL001 trên CSDL thử nghiệm trước từng ca.</x:v>
      </x:c>
      <x:c r="L65" s="35" t="str"/>
    </x:row>
    <x:row r="66" ht="59" customHeight="1">
      <x:c r="A66" s="34" t="str">
        <x:v>KS-02</x:v>
      </x:c>
      <x:c r="B66" s="30" t="str">
        <x:v>Kết thúc / khảo sát</x:v>
      </x:c>
      <x:c r="C66" s="26" t="str">
        <x:v>Điểm khảo sát 5 (biên trên)</x:v>
      </x:c>
      <x:c r="D66" s="30" t="str">
        <x:v>Biên</x:v>
      </x:c>
      <x:c r="E66" s="26" t="str">
        <x:v>Trên CSDL thử nghiệm, DKL001 có CL001 đã kết thúc 07/09/2026; chưa có khảo sát DKL001.</x:v>
      </x:c>
      <x:c r="F66" s="26" t="str">
        <x:v>Loại LE; mã DKL001; điểm 5; góp ý Kiểm thử điểm 5.</x:v>
      </x:c>
      <x:c r="G66" s="26" t="str">
        <x:v>1. Chuẩn bị trạng thái chưa có khảo sát.
2. Nhập dữ liệu.
3. Bấm Lưu khảo sát rồi Tải.</x:v>
      </x:c>
      <x:c r="H66" s="26" t="str">
        <x:v>Lưu khảo sát với đúng mã đăng ký và điểm 5.</x:v>
      </x:c>
      <x:c r="I66" s="36" t="str"/>
      <x:c r="J66" s="40" t="str">
        <x:v>Chưa chạy</x:v>
      </x:c>
      <x:c r="K66" s="26" t="str">
        <x:v>BR08; CK_KS_Diem; chỉ reset khảo sát của DKL001 trên CSDL thử nghiệm trước từng ca.</x:v>
      </x:c>
      <x:c r="L66" s="36" t="str"/>
    </x:row>
    <x:row r="67" ht="59" customHeight="1">
      <x:c r="A67" s="34" t="str">
        <x:v>KS-03</x:v>
      </x:c>
      <x:c r="B67" s="30" t="str">
        <x:v>Kết thúc / khảo sát</x:v>
      </x:c>
      <x:c r="C67" s="26" t="str">
        <x:v>Điểm khảo sát 0 (dưới biên)</x:v>
      </x:c>
      <x:c r="D67" s="30" t="str">
        <x:v>Không hợp lệ</x:v>
      </x:c>
      <x:c r="E67" s="26" t="str">
        <x:v>Trên CSDL thử nghiệm, DKL001 có CL001 đã kết thúc 07/09/2026; chưa có khảo sát DKL001.</x:v>
      </x:c>
      <x:c r="F67" s="26" t="str">
        <x:v>Loại LE; mã DKL001; điểm 0; góp ý Kiểm thử điểm 0.</x:v>
      </x:c>
      <x:c r="G67" s="26" t="str">
        <x:v>1. Chuẩn bị trạng thái chưa có khảo sát.
2. Nhập dữ liệu.
3. Bấm Lưu khảo sát rồi Tải.</x:v>
      </x:c>
      <x:c r="H67" s="26" t="str">
        <x:v>Từ chối điểm ngoài 1–5; không thêm khảo sát.</x:v>
      </x:c>
      <x:c r="I67" s="36" t="str"/>
      <x:c r="J67" s="40" t="str">
        <x:v>Chưa chạy</x:v>
      </x:c>
      <x:c r="K67" s="26" t="str">
        <x:v>BR08; CK_KS_Diem; chỉ reset khảo sát của DKL001 trên CSDL thử nghiệm trước từng ca.</x:v>
      </x:c>
      <x:c r="L67" s="36" t="str"/>
    </x:row>
    <x:row r="68" ht="59" customHeight="1">
      <x:c r="A68" s="34" t="str">
        <x:v>KS-04</x:v>
      </x:c>
      <x:c r="B68" s="30" t="str">
        <x:v>Kết thúc / khảo sát</x:v>
      </x:c>
      <x:c r="C68" s="26" t="str">
        <x:v>Điểm khảo sát 6 (trên biên)</x:v>
      </x:c>
      <x:c r="D68" s="30" t="str">
        <x:v>Không hợp lệ</x:v>
      </x:c>
      <x:c r="E68" s="26" t="str">
        <x:v>Trên CSDL thử nghiệm, DKL001 có CL001 đã kết thúc 07/09/2026; chưa có khảo sát DKL001.</x:v>
      </x:c>
      <x:c r="F68" s="26" t="str">
        <x:v>Loại LE; mã DKL001; điểm 6; góp ý Kiểm thử điểm 6.</x:v>
      </x:c>
      <x:c r="G68" s="26" t="str">
        <x:v>1. Chuẩn bị trạng thái chưa có khảo sát.
2. Nhập dữ liệu.
3. Bấm Lưu khảo sát rồi Tải.</x:v>
      </x:c>
      <x:c r="H68" s="26" t="str">
        <x:v>Từ chối điểm ngoài 1–5; không thêm khảo sát.</x:v>
      </x:c>
      <x:c r="I68" s="36" t="str"/>
      <x:c r="J68" s="40" t="str">
        <x:v>Chưa chạy</x:v>
      </x:c>
      <x:c r="K68" s="26" t="str">
        <x:v>BR08; CK_KS_Diem; chỉ reset khảo sát của DKL001 trên CSDL thử nghiệm trước từng ca.</x:v>
      </x:c>
      <x:c r="L68" s="36" t="str"/>
    </x:row>
    <x:row r="69" ht="48" customHeight="1">
      <x:c r="A69" s="34" t="str">
        <x:v>KS-05</x:v>
      </x:c>
      <x:c r="B69" s="30" t="str">
        <x:v>Kết thúc / khảo sát</x:v>
      </x:c>
      <x:c r="C69" s="26" t="str">
        <x:v>Không tạo hai khảo sát cho một đăng ký</x:v>
      </x:c>
      <x:c r="D69" s="30" t="str">
        <x:v>Không hợp lệ</x:v>
      </x:c>
      <x:c r="E69" s="26" t="str">
        <x:v>DKL001 đã có một khảo sát thành công, hoặc dùng dữ liệu mẫu KS001.</x:v>
      </x:c>
      <x:c r="F69" s="26" t="str">
        <x:v>LE; DKL001; điểm 4.</x:v>
      </x:c>
      <x:c r="G69" s="26" t="str">
        <x:v>1. Lưu thêm một khảo sát cho DKL001.
2. Đếm khảo sát của đăng ký.</x:v>
      </x:c>
      <x:c r="H69" s="26" t="str">
        <x:v>Từ chối trùng; vẫn có đúng một khảo sát.</x:v>
      </x:c>
      <x:c r="I69" s="36" t="str"/>
      <x:c r="J69" s="40" t="str">
        <x:v>Chưa chạy</x:v>
      </x:c>
      <x:c r="K69" s="26" t="str">
        <x:v>BR08; UX_KS_Le.</x:v>
      </x:c>
      <x:c r="L69" s="36" t="str"/>
    </x:row>
    <x:row r="70" ht="48" customHeight="1">
      <x:c r="A70" s="34" t="str">
        <x:v>KS-06</x:v>
      </x:c>
      <x:c r="B70" s="30" t="str">
        <x:v>Kết thúc / khảo sát</x:v>
      </x:c>
      <x:c r="C70" s="26" t="str">
        <x:v>Khảo sát cho mã đăng ký không tồn tại</x:v>
      </x:c>
      <x:c r="D70" s="30" t="str">
        <x:v>Không hợp lệ</x:v>
      </x:c>
      <x:c r="E70" s="26" t="str">
        <x:v>CSDL thử nghiệm có dữ liệu mẫu; SQL kết nối thành công. Không có DKL_NONE.</x:v>
      </x:c>
      <x:c r="F70" s="26" t="str">
        <x:v>LE; DKL_NONE; điểm 5.</x:v>
      </x:c>
      <x:c r="G70" s="26" t="str">
        <x:v>1. Nhập dữ liệu.
2. Bấm Lưu khảo sát.</x:v>
      </x:c>
      <x:c r="H70" s="26" t="str">
        <x:v>Từ chối; không tạo khảo sát không gắn đăng ký.</x:v>
      </x:c>
      <x:c r="I70" s="36" t="str"/>
      <x:c r="J70" s="40" t="str">
        <x:v>Chưa chạy</x:v>
      </x:c>
      <x:c r="K70" s="26" t="str">
        <x:v>FK_KS_DangKyLe; CK_KS_Target.</x:v>
      </x:c>
      <x:c r="L70" s="36" t="str"/>
    </x:row>
    <x:row r="71" ht="48" customHeight="1">
      <x:c r="A71" s="34" t="str">
        <x:v>KS-07</x:v>
      </x:c>
      <x:c r="B71" s="30" t="str">
        <x:v>Kết thúc / khảo sát</x:v>
      </x:c>
      <x:c r="C71" s="26" t="str">
        <x:v>Không khảo sát trước khi tour kết thúc</x:v>
      </x:c>
      <x:c r="D71" s="30" t="str">
        <x:v>Yêu cầu</x:v>
      </x:c>
      <x:c r="E71" s="26" t="str">
        <x:v>Mốc thử 09/10/2026; DKL002 thuộc CL002, kết thúc 17/11/2026; chưa có khảo sát.</x:v>
      </x:c>
      <x:c r="F71" s="26" t="str">
        <x:v>LE; DKL002; điểm 5.</x:v>
      </x:c>
      <x:c r="G71" s="26" t="str">
        <x:v>1. Thử lưu khảo sát trước 17/11/2026.
2. Kiểm tra kết quả và CSDL.</x:v>
      </x:c>
      <x:c r="H71" s="26" t="str">
        <x:v>Từ chối vì tour chưa kết thúc; không tạo phiếu khảo sát trước thời điểm cho phép.</x:v>
      </x:c>
      <x:c r="I71" s="36" t="str"/>
      <x:c r="J71" s="40" t="str">
        <x:v>Chưa chạy</x:v>
      </x:c>
      <x:c r="K71" s="26" t="str">
        <x:v>BR08; Tài liệu Bài 6, trang 4. FrmKetThucKhaoSat hiện chưa kiểm tra ngày kết thúc.</x:v>
      </x:c>
      <x:c r="L71" s="36" t="str"/>
    </x:row>
    <x:row r="72" ht="59" customHeight="1">
      <x:c r="A72" s="34" t="str">
        <x:v>KS-08</x:v>
      </x:c>
      <x:c r="B72" s="30" t="str">
        <x:v>Kết thúc / khảo sát</x:v>
      </x:c>
      <x:c r="C72" s="26" t="str">
        <x:v>Thanh toán đoàn sau tour và không vượt số còn lại</x:v>
      </x:c>
      <x:c r="D72" s="30" t="str">
        <x:v>Yêu cầu</x:v>
      </x:c>
      <x:c r="E72" s="26" t="str">
        <x:v>CSDL thử nghiệm: DD001 đã kết thúc; tổng 50000000, cọc 10000000, chưa có thanh toán sau tour.</x:v>
      </x:c>
      <x:c r="F72" s="26" t="str">
        <x:v>DD001; thanh toán 40000000; sau đó thử thêm 1 đồng.</x:v>
      </x:c>
      <x:c r="G72" s="26" t="str">
        <x:v>1. Thanh toán 40.000.000 sau tour.
2. Kiểm tra số còn lại.
3. Thử thanh toán thêm 1 đồng.</x:v>
      </x:c>
      <x:c r="H72" s="26" t="str">
        <x:v>Lần đầu lưu thành công, còn lại 0 và hoàn tất thanh toán; lần sau bị từ chối, không thêm giao dịch.</x:v>
      </x:c>
      <x:c r="I72" s="36" t="str"/>
      <x:c r="J72" s="40" t="str">
        <x:v>Chưa chạy</x:v>
      </x:c>
      <x:c r="K72" s="26" t="str">
        <x:v>BR04, QD03; PDF trang 3–4. Form hiện chưa có thanh toán đoàn; chuẩn bị dữ liệu trên bản thử.</x:v>
      </x:c>
      <x:c r="L72" s="36" t="str"/>
    </x:row>
    <x:row r="73" ht="48" customHeight="1">
      <x:c r="A73" s="31" t="str">
        <x:v>BC-01</x:v>
      </x:c>
      <x:c r="B73" s="27" t="str">
        <x:v>Lương / thống kê</x:v>
      </x:c>
      <x:c r="C73" s="23" t="str">
        <x:v>Xem danh sách tour mẫu</x:v>
      </x:c>
      <x:c r="D73" s="27" t="str">
        <x:v>Hợp lệ</x:v>
      </x:c>
      <x:c r="E73" s="23" t="str">
        <x:v>CSDL đã khôi phục dữ liệu mẫu gốc trước nhóm báo cáo.</x:v>
      </x:c>
      <x:c r="F73" s="23" t="str">
        <x:v>Chọn Danh sách tour.</x:v>
      </x:c>
      <x:c r="G73" s="23" t="str">
        <x:v>1. Mở Lương và thống kê.
2. Chọn Danh sách tour và bấm Xem.</x:v>
      </x:c>
      <x:c r="H73" s="23" t="str">
        <x:v>Hiện T001, T002, T003 với giá 2.500.000, 3.200.000, 8.900.000 đồng.</x:v>
      </x:c>
      <x:c r="I73" s="35" t="str"/>
      <x:c r="J73" s="39" t="str">
        <x:v>Chưa chạy</x:v>
      </x:c>
      <x:c r="K73" s="23" t="str">
        <x:v>ThongKeService.Tours; không tính các tour test đã thêm.</x:v>
      </x:c>
      <x:c r="L73" s="35" t="str"/>
    </x:row>
    <x:row r="74" ht="48" customHeight="1">
      <x:c r="A74" s="32" t="str">
        <x:v>BC-02</x:v>
      </x:c>
      <x:c r="B74" s="28" t="str">
        <x:v>Lương / thống kê</x:v>
      </x:c>
      <x:c r="C74" s="24" t="str">
        <x:v>Lương tháng có tour kết thúc</x:v>
      </x:c>
      <x:c r="D74" s="28" t="str">
        <x:v>Yêu cầu</x:v>
      </x:c>
      <x:c r="E74" s="24" t="str">
        <x:v>Dữ liệu mẫu gốc; chỉ PC001, PC002, PC003; chưa có phân công test.</x:v>
      </x:c>
      <x:c r="F74" s="24" t="str">
        <x:v>Tháng 09/2026.</x:v>
      </x:c>
      <x:c r="G74" s="24" t="str">
        <x:v>1. Chọn lương HDV và kỳ 09/2026.
2. Xem bảng và đối chiếu từng HDV.</x:v>
      </x:c>
      <x:c r="H74" s="24" t="str">
        <x:v>HDV01 = 10.500.000; HDV02 = 11.500.000; HDV03 = 10.500.000 đồng.</x:v>
      </x:c>
      <x:c r="I74" s="36" t="str"/>
      <x:c r="J74" s="40" t="str">
        <x:v>Chưa chạy</x:v>
      </x:c>
      <x:c r="K74" s="24" t="str">
        <x:v>BR07; mã hiện chưa có chọn tháng và chưa lọc tháng kết thúc.</x:v>
      </x:c>
      <x:c r="L74" s="36" t="str"/>
    </x:row>
    <x:row r="75" ht="48" customHeight="1">
      <x:c r="A75" s="32" t="str">
        <x:v>BC-03</x:v>
      </x:c>
      <x:c r="B75" s="28" t="str">
        <x:v>Lương / thống kê</x:v>
      </x:c>
      <x:c r="C75" s="24" t="str">
        <x:v>Lương tháng không có tour kết thúc</x:v>
      </x:c>
      <x:c r="D75" s="28" t="str">
        <x:v>Biên</x:v>
      </x:c>
      <x:c r="E75" s="24" t="str">
        <x:v>Dữ liệu mẫu gốc; không có tour của HDV kết thúc tháng 10/2026.</x:v>
      </x:c>
      <x:c r="F75" s="24" t="str">
        <x:v>Tháng 10/2026.</x:v>
      </x:c>
      <x:c r="G75" s="24" t="str">
        <x:v>1. Chọn kỳ 10/2026.
2. Xem lương các HDV.</x:v>
      </x:c>
      <x:c r="H75" s="24" t="str">
        <x:v>HDV01 = 9.000.000; HDV02 = 9.500.000; HDV03 = 8.500.000 đồng; không cộng thù lao tháng 9.</x:v>
      </x:c>
      <x:c r="I75" s="36" t="str"/>
      <x:c r="J75" s="40" t="str">
        <x:v>Chưa chạy</x:v>
      </x:c>
      <x:c r="K75" s="24" t="str">
        <x:v>BR07; Tài liệu Bài 6, trang 4. ThongKeService.LuongHDV hiện cộng toàn bộ phân công.</x:v>
      </x:c>
      <x:c r="L75" s="36" t="str"/>
    </x:row>
    <x:row r="76" ht="59" customHeight="1">
      <x:c r="A76" s="32" t="str">
        <x:v>BC-04</x:v>
      </x:c>
      <x:c r="B76" s="28" t="str">
        <x:v>Lương / thống kê</x:v>
      </x:c>
      <x:c r="C76" s="24" t="str">
        <x:v>Đối chiếu tổng tiền đăng ký mẫu</x:v>
      </x:c>
      <x:c r="D76" s="28" t="str">
        <x:v>Hợp lệ</x:v>
      </x:c>
      <x:c r="E76" s="24" t="str">
        <x:v>Khôi phục đúng dữ liệu mẫu, chưa có phiếu đăng ký test.</x:v>
      </x:c>
      <x:c r="F76" s="24" t="str">
        <x:v>Khách lẻ DKL001, DKL002; đoàn DD001, DD002.</x:v>
      </x:c>
      <x:c r="G76" s="24" t="str">
        <x:v>1. Chọn Doanh thu và bấm Xem.
2. Đối chiếu số phiếu và tổng tiền theo truy vấn hiện tại.</x:v>
      </x:c>
      <x:c r="H76" s="24" t="str">
        <x:v>Khách lẻ: 2 phiếu, 12.500.000; khách đoàn: 2 phiếu, tổng dự kiến 98.000.000 đồng.</x:v>
      </x:c>
      <x:c r="I76" s="36" t="str"/>
      <x:c r="J76" s="40" t="str">
        <x:v>Chưa chạy</x:v>
      </x:c>
      <x:c r="K76" s="24" t="str">
        <x:v>ThongKeService.DoanhThu đang SUM tổng dự kiến đoàn; ca này kiểm tra truy vấn hiện tại, không xác nhận thực thu.</x:v>
      </x:c>
      <x:c r="L76" s="36" t="str"/>
    </x:row>
    <x:row r="77" ht="48" customHeight="1">
      <x:c r="A77" s="32" t="str">
        <x:v>BC-05</x:v>
      </x:c>
      <x:c r="B77" s="28" t="str">
        <x:v>Lương / thống kê</x:v>
      </x:c>
      <x:c r="C77" s="24" t="str">
        <x:v>Thống kê theo khoảng ngày</x:v>
      </x:c>
      <x:c r="D77" s="28" t="str">
        <x:v>Yêu cầu</x:v>
      </x:c>
      <x:c r="E77" s="24" t="str">
        <x:v>CSDL có phiếu tháng 8, 9, 10/2026 như dữ liệu mẫu.</x:v>
      </x:c>
      <x:c r="F77" s="24" t="str">
        <x:v>Từ 01/09/2026 đến 30/09/2026; trường ngày đăng ký.</x:v>
      </x:c>
      <x:c r="G77" s="24" t="str">
        <x:v>1. Chọn khoảng ngày thống kê.
2. Xem danh sách hoặc tổng số phiếu.</x:v>
      </x:c>
      <x:c r="H77" s="24" t="str">
        <x:v>Chỉ chọn phiếu trong khoảng: DKL001 không thuộc vì ngày 20/08; DKL002 không thuộc vì 01/10; DD002 thuộc vì 25/09.</x:v>
      </x:c>
      <x:c r="I77" s="36" t="str"/>
      <x:c r="J77" s="40" t="str">
        <x:v>Chưa chạy</x:v>
      </x:c>
      <x:c r="K77" s="24" t="str">
        <x:v>Yêu cầu Lương - thống kê, PDF trang 3. Form hiện chưa có lọc khoảng ngày; cần thống nhất trường ngày theo mẫu thầy.</x:v>
      </x:c>
      <x:c r="L77" s="36" t="str"/>
    </x:row>
    <x:row r="78" ht="48" customHeight="1">
      <x:c r="A78" s="32" t="str">
        <x:v>BC-06</x:v>
      </x:c>
      <x:c r="B78" s="28" t="str">
        <x:v>Lương / thống kê</x:v>
      </x:c>
      <x:c r="C78" s="24" t="str">
        <x:v>Báo cáo khi chưa có phiếu</x:v>
      </x:c>
      <x:c r="D78" s="28" t="str">
        <x:v>Biên</x:v>
      </x:c>
      <x:c r="E78" s="24" t="str">
        <x:v>CSDL thử nghiệm giữ tour/HDV, nhưng không có DangKyLe và DangKyDoan.</x:v>
      </x:c>
      <x:c r="F78" s="24" t="str">
        <x:v>Chọn Doanh thu.</x:v>
      </x:c>
      <x:c r="G78" s="24" t="str">
        <x:v>1. Mở báo cáo và bấm Xem.
2. Quan sát số phiếu và tổng tiền.</x:v>
      </x:c>
      <x:c r="H78" s="24" t="str">
        <x:v>Mỗi loại có 0 phiếu; tổng tiền hiển thị 0 rõ ràng; không lỗi hoặc để người dùng hiểu nhầm ô trống.</x:v>
      </x:c>
      <x:c r="I78" s="36" t="str"/>
      <x:c r="J78" s="40" t="str">
        <x:v>Chưa chạy</x:v>
      </x:c>
      <x:c r="K78" s="24" t="str">
        <x:v>Ca hiển thị dữ liệu rỗng; service hiện SUM có thể trả NULL. Không xóa dữ liệu thật để chuẩn bị ca.</x:v>
      </x:c>
      <x:c r="L78" s="36" t="str"/>
    </x:row>
  </x:sheetData>
  <x:conditionalFormatting sqref="J9:J78">
    <x:cfRule type="containsText" dxfId="0" priority="1" operator="containsText" text="Fail"/>
    <x:cfRule type="containsText" dxfId="1" priority="2" operator="containsText" text="Blocked"/>
    <x:cfRule type="containsText" dxfId="2" priority="3" operator="containsText" text="Pass"/>
  </x:conditionalFormatting>
  <x:conditionalFormatting sqref="I9:J78">
    <x:cfRule type="expression" dxfId="3" priority="4">
      <x:formula>AND(OR($J9="Pass",$J9="Fail"),$I9="")</x:formula>
    </x:cfRule>
  </x:conditionalFormatting>
  <x:dataValidations count="1">
    <x:dataValidation type="list" sqref="J9:J78">
      <x:formula1>"Chưa chạy,Pass,Fail,Blocked"</x:formula1>
    </x:dataValidation>
  </x:dataValidations>
  <x:pageMargins left="0.7" right="0.7" top="0.75" bottom="0.75" header="0.3" footer="0.3"/>
  <x:tableParts count="1">
    <x:tablePart xmlns:r="http://schemas.openxmlformats.org/officeDocument/2006/relationships" r:id="R07343e7df8cd4b1a"/>
  </x:tableParts>
</x:worksheet>
</file>

<file path=xl/worksheets/sheet2.xml><?xml version="1.0" encoding="utf-8"?>
<x:worksheet xmlns:x="http://schemas.openxmlformats.org/spreadsheetml/2006/main">
  <x:sheetPr>
    <x:tabColor rgb="FFAFB5A6"/>
  </x:sheetPr>
  <x:sheetViews>
    <x:sheetView showGridLines="0" workbookViewId="0"/>
  </x:sheetViews>
  <x:sheetFormatPr defaultRowHeight="15"/>
  <x:cols>
    <x:col min="1" max="1" width="22.780000686645508" hidden="0" customWidth="1"/>
    <x:col min="2" max="2" width="94.44000244140625" hidden="0" customWidth="1"/>
    <x:col min="3" max="3" width="16.670000076293945" hidden="0" customWidth="1"/>
    <x:col min="4" max="4" width="17.219999313354492" hidden="0" customWidth="1"/>
  </x:cols>
  <x:sheetData>
    <x:row r="1" ht="22" customHeight="1">
      <x:c r="A1" s="2"/>
      <x:c r="B1" s="2"/>
      <x:c r="C1" s="2"/>
      <x:c r="D1" s="2"/>
    </x:row>
    <x:row r="2" ht="30" customHeight="1">
      <x:c r="A2" s="3" t="str">
        <x:v>Hướng dẫn thực hiện kiểm thử</x:v>
      </x:c>
      <x:c r="B2" s="2"/>
      <x:c r="C2" s="2"/>
      <x:c r="D2" s="2"/>
    </x:row>
    <x:row r="3" ht="22" customHeight="1">
      <x:c r="A3" s="2"/>
      <x:c r="B3" s="2"/>
      <x:c r="C3" s="2"/>
      <x:c r="D3" s="2"/>
    </x:row>
    <x:row r="4" ht="22" customHeight="1">
      <x:c r="A4" s="2" t="str">
        <x:v>Người kiểm thử</x:v>
      </x:c>
      <x:c r="B4" s="41"/>
      <x:c r="C4" s="2" t="str">
        <x:v>Ngày kiểm thử</x:v>
      </x:c>
      <x:c r="D4" s="42"/>
    </x:row>
    <x:row r="5" ht="22" customHeight="1">
      <x:c r="A5" s="2"/>
      <x:c r="B5" s="2"/>
      <x:c r="C5" s="2"/>
      <x:c r="D5" s="2"/>
    </x:row>
    <x:row r="6" ht="44" customHeight="1">
      <x:c r="A6" s="20" t="str">
        <x:v>Phạm vi</x:v>
      </x:c>
      <x:c r="B6" s="20" t="str">
        <x:v>70 ca cho giao diện chính và 8 nhóm nghiệp vụ. Cột căn cứ chỉ rõ quy tắc trong tài liệu hoặc ràng buộc trong mã/CSDL.</x:v>
      </x:c>
      <x:c r="C6" s="2"/>
      <x:c r="D6" s="2"/>
    </x:row>
    <x:row r="7" ht="22" customHeight="1">
      <x:c r="A7" s="2"/>
      <x:c r="B7" s="2"/>
      <x:c r="C7" s="2"/>
      <x:c r="D7" s="2"/>
    </x:row>
    <x:row r="8" ht="30" customHeight="1">
      <x:c r="A8" s="43" t="str">
        <x:v>Bước</x:v>
      </x:c>
      <x:c r="B8" s="43" t="str">
        <x:v>Thực hiện</x:v>
      </x:c>
      <x:c r="C8" s="2"/>
      <x:c r="D8" s="2"/>
    </x:row>
    <x:row r="9" ht="34" customHeight="1">
      <x:c r="A9" s="21" t="str">
        <x:v>1</x:v>
      </x:c>
      <x:c r="B9" s="21" t="str">
        <x:v>Chọn ca kiểm thử, đọc điều kiện trước và dùng bộ dữ liệu được ghi trong ca.</x:v>
      </x:c>
      <x:c r="C9" s="2"/>
      <x:c r="D9" s="2"/>
    </x:row>
    <x:row r="10" ht="34" customHeight="1">
      <x:c r="A10" s="26" t="str">
        <x:v>2</x:v>
      </x:c>
      <x:c r="B10" s="26" t="str">
        <x:v>Chạy dự án bằng Visual Studio. Thực hiện từng bước, quan sát thông báo và dòng dữ liệu.</x:v>
      </x:c>
      <x:c r="C10" s="2"/>
      <x:c r="D10" s="2"/>
    </x:row>
    <x:row r="11" ht="34" customHeight="1">
      <x:c r="A11" s="21" t="str">
        <x:v>3</x:v>
      </x:c>
      <x:c r="B11" s="21" t="str">
        <x:v>Ghi đúng kết quả đã quan sát vào Kết quả thực tế; không chép kết quả mong đợi khi chưa thử.</x:v>
      </x:c>
      <x:c r="C11" s="2"/>
      <x:c r="D11" s="2"/>
    </x:row>
    <x:row r="12" ht="34" customHeight="1">
      <x:c r="A12" s="26" t="str">
        <x:v>4</x:v>
      </x:c>
      <x:c r="B12" s="26" t="str">
        <x:v>Chọn Pass khi toàn bộ kết quả thực tế khớp mong đợi; chọn Fail khi có ít nhất một điểm sai.</x:v>
      </x:c>
      <x:c r="C12" s="2"/>
      <x:c r="D12" s="2"/>
    </x:row>
    <x:row r="13" ht="34" customHeight="1">
      <x:c r="A13" s="21" t="str">
        <x:v>5</x:v>
      </x:c>
      <x:c r="B13" s="21" t="str">
        <x:v>Đính kèm tên ảnh chụp hoặc mã lỗi trong Minh chứng / mã lỗi. Với Fail, mô tả bước tái hiện và dữ liệu.</x:v>
      </x:c>
      <x:c r="C13" s="2"/>
      <x:c r="D13" s="2"/>
    </x:row>
    <x:row r="14" ht="34" customHeight="1">
      <x:c r="A14" s="26" t="str">
        <x:v>6</x:v>
      </x:c>
      <x:c r="B14" s="26" t="str">
        <x:v>Chọn Blocked nếu chưa thể thực hiện do thiếu màn hình, điều kiện hoặc môi trường. Ghi rõ lý do.</x:v>
      </x:c>
      <x:c r="C14" s="2"/>
      <x:c r="D14" s="2"/>
    </x:row>
    <x:row r="15" ht="22" customHeight="1">
      <x:c r="A15" s="2"/>
      <x:c r="B15" s="2"/>
      <x:c r="C15" s="2"/>
      <x:c r="D15" s="2"/>
    </x:row>
    <x:row r="16" ht="30" customHeight="1">
      <x:c r="A16" s="43" t="str">
        <x:v>Trạng thái</x:v>
      </x:c>
      <x:c r="B16" s="43" t="str">
        <x:v>Cách sử dụng</x:v>
      </x:c>
      <x:c r="C16" s="2"/>
      <x:c r="D16" s="2"/>
    </x:row>
    <x:row r="17" ht="34" customHeight="1">
      <x:c r="A17" s="21" t="str">
        <x:v>Chưa chạy</x:v>
      </x:c>
      <x:c r="B17" s="21" t="str">
        <x:v>Chưa thực hiện ca kiểm thử; chưa có kết luận.</x:v>
      </x:c>
      <x:c r="C17" s="2"/>
      <x:c r="D17" s="2"/>
    </x:row>
    <x:row r="18" ht="34" customHeight="1">
      <x:c r="A18" s="26" t="str">
        <x:v>Pass</x:v>
      </x:c>
      <x:c r="B18" s="26" t="str">
        <x:v>Đã chạy và thực tế khớp đầy đủ kết quả mong đợi.</x:v>
      </x:c>
      <x:c r="C18" s="2"/>
      <x:c r="D18" s="2"/>
    </x:row>
    <x:row r="19" ht="34" customHeight="1">
      <x:c r="A19" s="21" t="str">
        <x:v>Fail</x:v>
      </x:c>
      <x:c r="B19" s="21" t="str">
        <x:v>Đã chạy nhưng thực tế sai ít nhất một yêu cầu.</x:v>
      </x:c>
      <x:c r="C19" s="2"/>
      <x:c r="D19" s="2"/>
    </x:row>
    <x:row r="20" ht="34" customHeight="1">
      <x:c r="A20" s="26" t="str">
        <x:v>Blocked</x:v>
      </x:c>
      <x:c r="B20" s="26" t="str">
        <x:v>Chưa thể chạy do điều kiện chưa đáp ứng; không dùng trạng thái này để che một lỗi đã quan sát.</x:v>
      </x:c>
      <x:c r="C20" s="2"/>
      <x:c r="D20" s="2"/>
    </x:row>
    <x:row r="21" ht="22" customHeight="1">
      <x:c r="A21" s="2"/>
      <x:c r="B21" s="2"/>
      <x:c r="C21" s="2"/>
      <x:c r="D21" s="2"/>
    </x:row>
    <x:row r="22" ht="55" customHeight="1">
      <x:c r="A22" s="20" t="str">
        <x:v>Nguồn</x:v>
      </x:c>
      <x:c r="B22" s="20" t="str">
        <x:v>Bai_6_Quan_ly_cong_ty_du_lich(1).pdf, trang 2–4: BR01–BR08, QD01–QD04 và yêu cầu toàn vẹn. QuanLyCongTyDuLich_Full.zip: Forms, Services và Database/QuanLyCongTyDuLich.sql.</x:v>
      </x:c>
      <x:c r="C22" s="2"/>
      <x:c r="D22" s="2"/>
    </x:row>
    <x:row r="23" ht="22" customHeight="1">
      <x:c r="A23" s="2"/>
      <x:c r="B23" s="2"/>
      <x:c r="C23" s="2"/>
      <x:c r="D23" s="2"/>
    </x:row>
    <x:row r="24" ht="30" customHeight="1">
      <x:c r="A24" s="43" t="str">
        <x:v>Dữ liệu chuẩn bị</x:v>
      </x:c>
      <x:c r="B24" s="43" t="str">
        <x:v>Cách chuẩn bị</x:v>
      </x:c>
      <x:c r="C24" s="2"/>
      <x:c r="D24" s="2"/>
    </x:row>
    <x:row r="25" ht="44" customHeight="1">
      <x:c r="A25" s="21" t="str">
        <x:v>CSDL thử nghiệm</x:v>
      </x:c>
      <x:c r="B25" s="21" t="str">
        <x:v>Dùng bản sao CSDL hoặc CSDL dành riêng cho kiểm thử; App.config phải trỏ vào bản này. Script SQL gốc tạo lại bảng, nên không chạy trên dữ liệu đang sử dụng.</x:v>
      </x:c>
      <x:c r="C25" s="2"/>
      <x:c r="D25" s="2"/>
    </x:row>
    <x:row r="26" ht="44" customHeight="1">
      <x:c r="A26" s="26" t="str">
        <x:v>Mốc ngày</x:v>
      </x:c>
      <x:c r="B26" s="26" t="str">
        <x:v>Các ca dùng mốc 09/10/2026. Nếu chạy ngày khác, điều chỉnh dữ liệu để ca 'trước tour' vẫn là tour tương lai và ca 'sau tour' vẫn đã kết thúc.</x:v>
      </x:c>
      <x:c r="C26" s="2"/>
      <x:c r="D26" s="2"/>
    </x:row>
    <x:row r="27" ht="34" customHeight="1">
      <x:c r="A27" s="21" t="str">
        <x:v>Mã thử riêng</x:v>
      </x:c>
      <x:c r="B27" s="21" t="str">
        <x:v>Mã PT_TC01, T_TC01, TC_LE01... phải chưa tồn tại trước ca tạo mới. Đọc các ca có phụ thuộc; ví dụ sửa/xóa T_TC01 cần TOUR-01 thành công.</x:v>
      </x:c>
      <x:c r="C27" s="2"/>
      <x:c r="D27" s="2"/>
    </x:row>
    <x:row r="28" ht="44" customHeight="1">
      <x:c r="A28" s="26" t="str">
        <x:v>Đoàn cho ca giao lịch</x:v>
      </x:c>
      <x:c r="B28" s="26" t="str">
        <x:v>Tạo TC_DOVER: DK01, T001, 13 người, 16–18/11/2026; TC_DMEET: DK01, T001, 13 người, 17–19/11/2026. Mỗi phiếu cọc 10.000.000, tổng 32.500.000; không bảo hiểm.</x:v>
      </x:c>
      <x:c r="C28" s="2"/>
      <x:c r="D28" s="2"/>
    </x:row>
    <x:row r="29" ht="44" customHeight="1">
      <x:c r="A29" s="21" t="str">
        <x:v>Chuẩn bị khảo sát</x:v>
      </x:c>
      <x:c r="B29" s="21" t="str">
        <x:v>Trước KS-01 đến KS-04, trên CSDL thử nghiệm chạy: DELETE FROM KhaoSat WHERE SoDKLe='DKL001';. DKL001 thuộc chuyến đã kết thúc. KS-05 cần có lại một khảo sát trước khi thử lưu trùng.</x:v>
      </x:c>
      <x:c r="C29" s="2"/>
      <x:c r="D29" s="2"/>
    </x:row>
    <x:row r="30" ht="44" customHeight="1">
      <x:c r="A30" s="26" t="str">
        <x:v>Chuẩn bị thanh toán</x:v>
      </x:c>
      <x:c r="B30" s="26" t="str">
        <x:v>KS-08 dùng DD001 tổng 50.000.000, cọc 10.000.000. Trên bản thử, chuẩn bị trạng thái chưa thanh toán sau tour; có thể bỏ giao dịch mẫu bằng DELETE FROM ThanhToanDoan WHERE SoDKDoan='DD001';. Nếu chưa có thao tác thanh toán, ghi Blocked và lý do.</x:v>
      </x:c>
      <x:c r="C30" s="2"/>
      <x:c r="D30" s="2"/>
    </x:row>
    <x:row r="31" ht="44" customHeight="1">
      <x:c r="A31" s="21" t="str">
        <x:v>Báo cáo dữ liệu mẫu</x:v>
      </x:c>
      <x:c r="B31" s="21" t="str">
        <x:v>Khôi phục bộ dữ liệu mẫu riêng trước BC-01 đến BC-05 để các mã test không làm thay đổi tổng. BC-06 dùng bản thử có tour/HDV nhưng chưa có đăng ký.</x:v>
      </x:c>
      <x:c r="C31" s="2"/>
      <x:c r="D31" s="2"/>
    </x:row>
    <x:row r="32" ht="44" customHeight="1">
      <x:c r="A32" s="26" t="str">
        <x:v>Lượt thử lại</x:v>
      </x:c>
      <x:c r="B32" s="26" t="str">
        <x:v>Không ghi đè kết luận khi lỗi chưa sửa. Khi thử lại, bổ sung ngày, dữ liệu, kết quả mới và minh chứng trong cùng dòng; giữ mô tả lỗi cũ ở cột ghi chú hoặc minh chứng.</x:v>
      </x:c>
      <x:c r="C32" s="2"/>
      <x:c r="D32" s="2"/>
    </x:row>
    <x:row r="33" ht="22" customHeight="1">
      <x:c r="A33" s="2"/>
      <x:c r="B33" s="2"/>
      <x:c r="C33" s="2"/>
      <x:c r="D33" s="2"/>
    </x:row>
    <x:row r="34" ht="30" customHeight="1">
      <x:c r="A34" s="43" t="str">
        <x:v>Yêu cầu cần chú ý</x:v>
      </x:c>
      <x:c r="B34" s="43" t="str">
        <x:v>Nội dung</x:v>
      </x:c>
      <x:c r="C34" s="2"/>
      <x:c r="D34" s="2"/>
    </x:row>
    <x:row r="35" ht="34" customHeight="1">
      <x:c r="A35" s="21" t="str">
        <x:v>BR05: Bảo hiểm</x:v>
      </x:c>
      <x:c r="B35" s="21" t="str">
        <x:v>Mua bảo hiểm phải có danh sách đủ số người. Form hiện tại chỉ có checkbox; đây là điểm cần kiểm chứng và bổ sung.</x:v>
      </x:c>
      <x:c r="C35" s="2"/>
      <x:c r="D35" s="2"/>
    </x:row>
    <x:row r="36" ht="34" customHeight="1">
      <x:c r="A36" s="26" t="str">
        <x:v>BR07: Lương tháng</x:v>
      </x:c>
      <x:c r="B36" s="26" t="str">
        <x:v>Lương phải cộng thù lao tour kết thúc trong tháng đã chọn. Service hiện cộng toàn bộ phân công; chưa có ô chọn tháng trên form.</x:v>
      </x:c>
      <x:c r="C36" s="2"/>
      <x:c r="D36" s="2"/>
    </x:row>
    <x:row r="37" ht="44" customHeight="1">
      <x:c r="A37" s="21" t="str">
        <x:v>BR08: Khảo sát</x:v>
      </x:c>
      <x:c r="B37" s="21" t="str">
        <x:v>Chỉ khảo sát sau khi kết thúc tour và mỗi đăng ký tối đa một phiếu. Mã hiện kiểm tra điểm/khóa trùng qua SQL, chưa kiểm tra ngày kết thúc.</x:v>
      </x:c>
      <x:c r="C37" s="2"/>
      <x:c r="D37" s="2"/>
    </x:row>
    <x:row r="38" ht="44" customHeight="1">
      <x:c r="A38" s="26" t="str">
        <x:v>QD01: Đúng 12 người</x:v>
      </x:c>
      <x:c r="B38" s="26" t="str">
        <x:v>Tài liệu đang quyết định từ chối cả khách lẻ và khách đoàn. Nếu thầy yêu cầu cách xử lý khác, sửa kết quả mong đợi và ràng buộc tương ứng.</x:v>
      </x:c>
      <x:c r="C38" s="2"/>
      <x:c r="D38" s="2"/>
    </x:row>
    <x:row r="39" ht="44" customHeight="1">
      <x:c r="A39" s="21" t="str">
        <x:v>Toàn vẹn đăng ký đoàn</x:v>
      </x:c>
      <x:c r="B39" s="21" t="str">
        <x:v>Ca DOAN-09 kiểm tra transaction: đăng ký thất bại không được để lại một đoàn mới không có phiếu. Đây là kiểm thử dữ liệu, không chỉ kiểm tra hộp thoại.</x:v>
      </x:c>
      <x:c r="C39" s="2"/>
      <x:c r="D39" s="2"/>
    </x:row>
    <x:row r="40" ht="44" customHeight="1">
      <x:c r="A40" s="26" t="str">
        <x:v>Phần chưa có thao tác</x:v>
      </x:c>
      <x:c r="B40" s="26" t="str">
        <x:v>Tour - hành trình, hủy đoàn, thanh toán sau tour và lọc báo cáo có ca riêng. Ghi nhận thiếu chức năng theo điều kiện thực tế; các ghi chú là nhận xét khi đọc mã, chưa phải kết quả chạy thử.</x:v>
      </x:c>
      <x:c r="C40" s="2"/>
      <x:c r="D40" s="2"/>
    </x:row>
    <x:row r="41" ht="44" customHeight="1">
      <x:c r="A41" s="21" t="str">
        <x:v>Đưa vào báo cáo</x:v>
      </x:c>
      <x:c r="B41" s="21" t="str">
        <x:v>Có thể dùng bảng này cho mục Kiểm thử hệ thống. Trình bày phạm vi, môi trường, dữ liệu, bảng test case và tổng kết Pass/Fail/Blocked sau khi chạy.</x:v>
      </x:c>
      <x:c r="C41" s="2"/>
      <x:c r="D41" s="2"/>
    </x:row>
    <x:row r="42" ht="22" customHeight="1">
      <x:c r="A42" s="2"/>
      <x:c r="B42" s="2"/>
      <x:c r="C42" s="2"/>
      <x:c r="D42" s="2"/>
    </x:row>
  </x:sheetData>
  <x:pageMargins left="0.7" right="0.7" top="0.75" bottom="0.75" header="0.3" footer="0.3"/>
</x:worksheet>
</file>